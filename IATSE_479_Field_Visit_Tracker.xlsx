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Visit Log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color rgb="009A6A00"/>
      <sz val="9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9A6A00"/>
      <sz val="10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1F3864"/>
      <sz val="11"/>
    </font>
    <font>
      <name val="Arial"/>
      <b val="1"/>
      <sz val="12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E7145"/>
      </patternFill>
    </fill>
    <fill>
      <patternFill patternType="solid">
        <fgColor rgb="009C4A00"/>
      </patternFill>
    </fill>
    <fill>
      <patternFill patternType="solid">
        <fgColor rgb="006B2E8F"/>
      </patternFill>
    </fill>
    <fill>
      <patternFill patternType="solid">
        <fgColor rgb="008A1C2B"/>
      </patternFill>
    </fill>
    <fill>
      <patternFill patternType="solid">
        <fgColor rgb="00555555"/>
      </patternFill>
    </fill>
    <fill>
      <patternFill patternType="solid">
        <fgColor rgb="00EFEFEF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9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0" borderId="0" pivotButton="0" quotePrefix="0" xfId="0"/>
    <xf numFmtId="1" fontId="8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10" fillId="0" borderId="0" pivotButton="0" quotePrefix="0" xfId="0"/>
    <xf numFmtId="1" fontId="1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2" fillId="12" borderId="1" pivotButton="0" quotePrefix="0" xfId="0"/>
    <xf numFmtId="1" fontId="8" fillId="0" borderId="1" applyAlignment="1" pivotButton="0" quotePrefix="0" xfId="0">
      <alignment horizontal="center"/>
    </xf>
    <xf numFmtId="0" fontId="7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Form</author>
  </authors>
  <commentList>
    <comment ref="A1" authorId="0" shapeId="0">
      <text>
        <t>Unique ID for each visit, e.g. 2026-001. One row = one set visit.</t>
      </text>
    </comment>
    <comment ref="B1" authorId="0" shapeId="0">
      <text>
        <t>Enter a real date (e.g. 2026-07-15) so monthly stats work.</t>
      </text>
    </comment>
    <comment ref="G1" authorId="0" shapeId="0">
      <text>
        <t>Prep / Shooting / Wrap</t>
      </text>
    </comment>
    <comment ref="J1" authorId="0" shapeId="0">
      <text>
        <t>routine / issue</t>
      </text>
    </comment>
    <comment ref="L1" authorId="0" shapeId="0">
      <text>
        <t>Day / Night / Split</t>
      </text>
    </comment>
    <comment ref="M1" authorId="0" shapeId="0">
      <text>
        <t>Enter Yes if this area was visited.</t>
      </text>
    </comment>
    <comment ref="N1" authorId="0" shapeId="0">
      <text>
        <t>Enter Yes if this area was visited.</t>
      </text>
    </comment>
    <comment ref="O1" authorId="0" shapeId="0">
      <text>
        <t>Enter Yes if this area was visited.</t>
      </text>
    </comment>
    <comment ref="P1" authorId="0" shapeId="0">
      <text>
        <t>Enter Yes if this area was visited.</t>
      </text>
    </comment>
    <comment ref="Q1" authorId="0" shapeId="0">
      <text>
        <t>Enter Yes if this area was visited.</t>
      </text>
    </comment>
    <comment ref="S1" authorId="0" shapeId="0">
      <text>
        <t>Enter Yes if this weather condition applied.</t>
      </text>
    </comment>
    <comment ref="T1" authorId="0" shapeId="0">
      <text>
        <t>Enter Yes if this weather condition applied.</t>
      </text>
    </comment>
    <comment ref="U1" authorId="0" shapeId="0">
      <text>
        <t>Enter Yes if this weather condition applied.</t>
      </text>
    </comment>
    <comment ref="V1" authorId="0" shapeId="0">
      <text>
        <t>Enter Yes if this weather condition applied.</t>
      </text>
    </comment>
    <comment ref="W1" authorId="0" shapeId="0">
      <text>
        <t>Enter Yes if this weather condition applied.</t>
      </text>
    </comment>
    <comment ref="X1" authorId="0" shapeId="0">
      <text>
        <t>Enter Yes if this weather condition applied.</t>
      </text>
    </comment>
    <comment ref="Y1" authorId="0" shapeId="0">
      <text>
        <t>Enter Yes if this weather condition applied.</t>
      </text>
    </comment>
    <comment ref="Z1" authorId="0" shapeId="0">
      <text>
        <t>Enter Yes if this weather condition applied.</t>
      </text>
    </comment>
    <comment ref="AH1" authorId="0" shapeId="0">
      <text>
        <t>Key / 2nd / 3rd</t>
      </text>
    </comment>
    <comment ref="AK1" authorId="0" shapeId="0">
      <text>
        <t>Key / 2nd / 3rd</t>
      </text>
    </comment>
    <comment ref="AN1" authorId="0" shapeId="0">
      <text>
        <t>Key / 2nd / 3rd</t>
      </text>
    </comment>
    <comment ref="AQ1" authorId="0" shapeId="0">
      <text>
        <t>Key / 2nd / 3rd</t>
      </text>
    </comment>
    <comment ref="AT1" authorId="0" shapeId="0">
      <text>
        <t>Enter Yes if this department was visited.</t>
      </text>
    </comment>
    <comment ref="AU1" authorId="0" shapeId="0">
      <text>
        <t>Enter Yes if this department was visited.</t>
      </text>
    </comment>
    <comment ref="AV1" authorId="0" shapeId="0">
      <text>
        <t>Enter Yes if this department was visited.</t>
      </text>
    </comment>
    <comment ref="AW1" authorId="0" shapeId="0">
      <text>
        <t>Enter Yes if this department was visited.</t>
      </text>
    </comment>
    <comment ref="AX1" authorId="0" shapeId="0">
      <text>
        <t>Enter Yes if this department was visited.</t>
      </text>
    </comment>
    <comment ref="AY1" authorId="0" shapeId="0">
      <text>
        <t>Enter Yes if this department was visited.</t>
      </text>
    </comment>
    <comment ref="AZ1" authorId="0" shapeId="0">
      <text>
        <t>Enter Yes if this department was visited.</t>
      </text>
    </comment>
    <comment ref="BA1" authorId="0" shapeId="0">
      <text>
        <t>Enter Yes if this department was visited.</t>
      </text>
    </comment>
    <comment ref="BB1" authorId="0" shapeId="0">
      <text>
        <t>Enter Yes if this department was visited.</t>
      </text>
    </comment>
    <comment ref="BC1" authorId="0" shapeId="0">
      <text>
        <t>Enter Yes if this department was visited.</t>
      </text>
    </comment>
    <comment ref="BD1" authorId="0" shapeId="0">
      <text>
        <t>Enter Yes if this department was visited.</t>
      </text>
    </comment>
    <comment ref="BE1" authorId="0" shapeId="0">
      <text>
        <t>Enter Yes if this department was visited.</t>
      </text>
    </comment>
    <comment ref="BF1" authorId="0" shapeId="0">
      <text>
        <t>Enter Yes if this department was visited.</t>
      </text>
    </comment>
    <comment ref="BG1" authorId="0" shapeId="0">
      <text>
        <t>Enter Yes if this department was visited.</t>
      </text>
    </comment>
    <comment ref="BH1" authorId="0" shapeId="0">
      <text>
        <t>Enter Yes if this department was visited.</t>
      </text>
    </comment>
    <comment ref="BI1" authorId="0" shapeId="0">
      <text>
        <t>Enter Yes if this department was visited.</t>
      </text>
    </comment>
    <comment ref="BJ1" authorId="0" shapeId="0">
      <text>
        <t>Enter Yes if this department was visited.</t>
      </text>
    </comment>
    <comment ref="CT1" authorId="0" shapeId="0">
      <text>
        <t>Enter Yes if this follow-up was completed.</t>
      </text>
    </comment>
    <comment ref="CU1" authorId="0" shapeId="0">
      <text>
        <t>Enter Yes if this follow-up was completed.</t>
      </text>
    </comment>
    <comment ref="CV1" authorId="0" shapeId="0">
      <text>
        <t>Enter Yes if this follow-up was completed.</t>
      </text>
    </comment>
    <comment ref="CW1" authorId="0" shapeId="0">
      <text>
        <t>Enter Yes if this follow-up was completed.</t>
      </text>
    </comment>
    <comment ref="CX1" authorId="0" shapeId="0">
      <text>
        <t>Enter Yes if this follow-up was completed.</t>
      </text>
    </comment>
    <comment ref="A2" authorId="0" shapeId="0">
      <text>
        <t>EXAMPLE ROW - overwrite or delete. Copy the pattern for new visits.</t>
      </text>
    </comment>
  </commentList>
</comments>
</file>

<file path=xl/tables/table1.xml><?xml version="1.0" encoding="utf-8"?>
<table xmlns="http://schemas.openxmlformats.org/spreadsheetml/2006/main" id="1" name="VisitLog" displayName="VisitLog" ref="A1:DC300" headerRowCount="1">
  <autoFilter ref="A1:DC300"/>
  <tableColumns count="107">
    <tableColumn id="1" name="Visit ID"/>
    <tableColumn id="2" name="Date of Visit"/>
    <tableColumn id="3" name="Production Title"/>
    <tableColumn id="4" name="Field Representative"/>
    <tableColumn id="5" name="L479 No."/>
    <tableColumn id="6" name="Date Production Notified"/>
    <tableColumn id="7" name="Production Phase"/>
    <tableColumn id="8" name="Arrival Time"/>
    <tableColumn id="9" name="Departure Time"/>
    <tableColumn id="10" name="Reason for Visit"/>
    <tableColumn id="11" name="Crew Call"/>
    <tableColumn id="12" name="Crew Day"/>
    <tableColumn id="13" name="Area: Stage"/>
    <tableColumn id="14" name="Area: Location"/>
    <tableColumn id="15" name="Area: Mill"/>
    <tableColumn id="16" name="Area: Lockup"/>
    <tableColumn id="17" name="Area: Other"/>
    <tableColumn id="18" name="Visit Notes"/>
    <tableColumn id="19" name="Wx: Sunny"/>
    <tableColumn id="20" name="Wx: Cloudy"/>
    <tableColumn id="21" name="Wx: Rain"/>
    <tableColumn id="22" name="Wx: Snow"/>
    <tableColumn id="23" name="Wx: Lightning"/>
    <tableColumn id="24" name="Wx: Winds"/>
    <tableColumn id="25" name="Wx: Extreme Cold"/>
    <tableColumn id="26" name="Wx: Extreme Heat"/>
    <tableColumn id="27" name="Steward 1 Name"/>
    <tableColumn id="28" name="Steward 1 Status"/>
    <tableColumn id="29" name="Steward 1 Start Date"/>
    <tableColumn id="30" name="Steward 2 Name"/>
    <tableColumn id="31" name="Steward 2 Status"/>
    <tableColumn id="32" name="Steward 2 Start Date"/>
    <tableColumn id="33" name="Union Crew 1 Name"/>
    <tableColumn id="34" name="Union Crew 1 Role"/>
    <tableColumn id="35" name="Union Crew 1 Notes/Issues"/>
    <tableColumn id="36" name="Union Crew 2 Name"/>
    <tableColumn id="37" name="Union Crew 2 Role"/>
    <tableColumn id="38" name="Union Crew 2 Notes/Issues"/>
    <tableColumn id="39" name="Union Crew 3 Name"/>
    <tableColumn id="40" name="Union Crew 3 Role"/>
    <tableColumn id="41" name="Union Crew 3 Notes/Issues"/>
    <tableColumn id="42" name="Union Crew 4 Name"/>
    <tableColumn id="43" name="Union Crew 4 Role"/>
    <tableColumn id="44" name="Union Crew 4 Notes/Issues"/>
    <tableColumn id="45" name="Section 2 Notes"/>
    <tableColumn id="46" name="Dept: Art"/>
    <tableColumn id="47" name="Dept: Construction"/>
    <tableColumn id="48" name="Dept: Costumes"/>
    <tableColumn id="49" name="Dept: Craft Service"/>
    <tableColumn id="50" name="Dept: Electrical"/>
    <tableColumn id="51" name="Dept: Greens"/>
    <tableColumn id="52" name="Dept: Grip"/>
    <tableColumn id="53" name="Dept: Locations"/>
    <tableColumn id="54" name="Dept: Medic"/>
    <tableColumn id="55" name="Dept: Paint"/>
    <tableColumn id="56" name="Dept: Plaster"/>
    <tableColumn id="57" name="Dept: Props"/>
    <tableColumn id="58" name="Dept: Set Dec"/>
    <tableColumn id="59" name="Dept: Set Teacher"/>
    <tableColumn id="60" name="Dept: Sound"/>
    <tableColumn id="61" name="Dept: SPFX"/>
    <tableColumn id="62" name="Dept: Video"/>
    <tableColumn id="63" name="Non-Union 1 Name"/>
    <tableColumn id="64" name="Non-Union 1 Dept"/>
    <tableColumn id="65" name="Non-Union 2 Name"/>
    <tableColumn id="66" name="Non-Union 2 Dept"/>
    <tableColumn id="67" name="Non-Union 3 Name"/>
    <tableColumn id="68" name="Non-Union 3 Dept"/>
    <tableColumn id="69" name="Non-Union 4 Name"/>
    <tableColumn id="70" name="Non-Union 4 Dept"/>
    <tableColumn id="71" name="Non-Union 5 Name"/>
    <tableColumn id="72" name="Non-Union 5 Dept"/>
    <tableColumn id="73" name="Non-Union 6 Name"/>
    <tableColumn id="74" name="Non-Union 6 Dept"/>
    <tableColumn id="75" name="Non-Union 7 Name"/>
    <tableColumn id="76" name="Non-Union 7 Dept"/>
    <tableColumn id="77" name="Non-Union 8 Name"/>
    <tableColumn id="78" name="Non-Union 8 Dept"/>
    <tableColumn id="79" name="Section 3 Notes"/>
    <tableColumn id="80" name="Apparel 1 Name"/>
    <tableColumn id="81" name="Apparel 1 Phone"/>
    <tableColumn id="82" name="Apparel 1 Size"/>
    <tableColumn id="83" name="Apparel 2 Name"/>
    <tableColumn id="84" name="Apparel 2 Phone"/>
    <tableColumn id="85" name="Apparel 2 Size"/>
    <tableColumn id="86" name="Apparel 3 Name"/>
    <tableColumn id="87" name="Apparel 3 Phone"/>
    <tableColumn id="88" name="Apparel 3 Size"/>
    <tableColumn id="89" name="Apparel 4 Name"/>
    <tableColumn id="90" name="Apparel 4 Phone"/>
    <tableColumn id="91" name="Apparel 4 Size"/>
    <tableColumn id="92" name="Apparel 5 Name"/>
    <tableColumn id="93" name="Apparel 5 Phone"/>
    <tableColumn id="94" name="Apparel 5 Size"/>
    <tableColumn id="95" name="UPM/Producer 1"/>
    <tableColumn id="96" name="UPM/Producer 2"/>
    <tableColumn id="97" name="Production Coordinator"/>
    <tableColumn id="98" name="Follow-up: IATSE Project Info Sheet"/>
    <tableColumn id="99" name="Follow-up: Current Crewlist"/>
    <tableColumn id="100" name="Follow-up: 479 Roster Provided"/>
    <tableColumn id="101" name="Follow-up: Availability List Provided"/>
    <tableColumn id="102" name="Follow-up: Lunch Reporting Schedule"/>
    <tableColumn id="103" name="Section 5 Notes"/>
    <tableColumn id="104" name="# Union Crew"/>
    <tableColumn id="105" name="# Non-Union"/>
    <tableColumn id="106" name="# Depts Visited"/>
    <tableColumn id="107" name="# Follow-ups D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How to use this workbook</t>
        </is>
      </c>
    </row>
    <row r="4">
      <c r="B4" s="2" t="inlineStr"/>
    </row>
    <row r="5">
      <c r="B5" s="3" t="inlineStr">
        <is>
          <t>1. Fill out the Visit Log</t>
        </is>
      </c>
    </row>
    <row r="6">
      <c r="B6" s="2" t="inlineStr">
        <is>
          <t xml:space="preserve">   • One row = one set visit. Start on row 3 (row 2 is a shaded EXAMPLE you can overwrite or delete).</t>
        </is>
      </c>
    </row>
    <row r="7">
      <c r="B7" s="2" t="inlineStr">
        <is>
          <t xml:space="preserve">   • The first 4 columns (Visit ID, Date, Production, Field Rep) stay frozen as you scroll right.</t>
        </is>
      </c>
    </row>
    <row r="8">
      <c r="B8" s="2" t="inlineStr">
        <is>
          <t xml:space="preserve">   • Columns are colour-coded by the 5 form sections, matching the paper X-4 form:</t>
        </is>
      </c>
    </row>
    <row r="9">
      <c r="B9" s="2" t="inlineStr">
        <is>
          <t xml:space="preserve">        Navy = ID   • Blue = §1 Visit Details   • Green = §2 Union Crew   • Orange = §3 Non-Union   • Purple = §4 Apparel   • Red = §5 Production Notes</t>
        </is>
      </c>
    </row>
    <row r="10">
      <c r="B10" s="2" t="inlineStr">
        <is>
          <t xml:space="preserve">   • Cells with a dropdown arrow (Phase, Crew Day, Role, Dept, Size, and all Yes fields) – pick from the list.</t>
        </is>
      </c>
    </row>
    <row r="11">
      <c r="B11" s="2" t="inlineStr">
        <is>
          <t xml:space="preserve">   • Check-box items from the form (Areas Visited, Weather, Departments, Follow-ups) are 'Yes' columns – type/pick Yes when it applies, leave blank otherwise.</t>
        </is>
      </c>
    </row>
    <row r="12">
      <c r="B12" s="2" t="inlineStr">
        <is>
          <t xml:space="preserve">   • Dates: enter as real dates (e.g. 2026-07-15) so the monthly chart works.</t>
        </is>
      </c>
    </row>
    <row r="13">
      <c r="B13" s="2" t="inlineStr">
        <is>
          <t xml:space="preserve">   • Grey columns on the far right (# Union Crew, # Non-Union, # Depts, # Follow-ups) fill in automatically – don't type in them.</t>
        </is>
      </c>
    </row>
    <row r="14">
      <c r="B14" s="2" t="inlineStr"/>
    </row>
    <row r="15">
      <c r="B15" s="3" t="inlineStr">
        <is>
          <t>2. Watch the Dashboard</t>
        </is>
      </c>
    </row>
    <row r="16">
      <c r="B16" s="2" t="inlineStr">
        <is>
          <t xml:space="preserve">   • Every stat recalculates automatically the moment you add or edit a Visit Log row. No buttons, no macros.</t>
        </is>
      </c>
    </row>
    <row r="17">
      <c r="B17" s="2" t="inlineStr">
        <is>
          <t xml:space="preserve">   • Totals, phase/crew-day/reason breakdowns, areas, weather, department frequency, and follow-up completion are all automatic.</t>
        </is>
      </c>
    </row>
    <row r="18">
      <c r="B18" s="2" t="inlineStr">
        <is>
          <t xml:space="preserve">   • VISITS BY MONTH: change the yellow Year cell to see any year.</t>
        </is>
      </c>
    </row>
    <row r="19">
      <c r="B19" s="2" t="inlineStr">
        <is>
          <t xml:space="preserve">   • VISITS BY PRODUCTION: type production titles in column B and the visit count fills in beside it.</t>
        </is>
      </c>
    </row>
    <row r="20">
      <c r="B20" s="2" t="inlineStr"/>
    </row>
    <row r="21">
      <c r="B21" s="4" t="inlineStr">
        <is>
          <t>3. Capacity</t>
        </is>
      </c>
    </row>
    <row r="22">
      <c r="B22" s="2" t="inlineStr">
        <is>
          <t xml:space="preserve">   • Built for up to 500 visits. Fill rows top-to-bottom. Need more? Ask and it can be extended.</t>
        </is>
      </c>
    </row>
    <row r="23">
      <c r="B23" s="2" t="inlineStr"/>
    </row>
    <row r="24">
      <c r="B24" s="5" t="inlineStr">
        <is>
          <t>Source form: IATSE Studio Mechanics Local 479 – Field Visit Report Form X-4 (2026). Every one of the form's 102 fields maps to a column here.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3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13" customWidth="1" min="5" max="5"/>
    <col width="15" customWidth="1" min="6" max="6"/>
    <col width="15" customWidth="1" min="7" max="7"/>
    <col width="12" customWidth="1" min="8" max="8"/>
    <col width="12" customWidth="1" min="9" max="9"/>
    <col width="24" customWidth="1" min="10" max="10"/>
    <col width="12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3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20" customWidth="1" min="27" max="27"/>
    <col width="15" customWidth="1" min="28" max="28"/>
    <col width="14" customWidth="1" min="29" max="29"/>
    <col width="20" customWidth="1" min="30" max="30"/>
    <col width="15" customWidth="1" min="31" max="31"/>
    <col width="14" customWidth="1" min="32" max="32"/>
    <col width="20" customWidth="1" min="33" max="33"/>
    <col width="10" customWidth="1" min="34" max="34"/>
    <col width="24" customWidth="1" min="35" max="35"/>
    <col width="20" customWidth="1" min="36" max="36"/>
    <col width="10" customWidth="1" min="37" max="37"/>
    <col width="24" customWidth="1" min="38" max="38"/>
    <col width="20" customWidth="1" min="39" max="39"/>
    <col width="10" customWidth="1" min="40" max="40"/>
    <col width="24" customWidth="1" min="41" max="41"/>
    <col width="20" customWidth="1" min="42" max="42"/>
    <col width="10" customWidth="1" min="43" max="43"/>
    <col width="24" customWidth="1" min="44" max="44"/>
    <col width="28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20" customWidth="1" min="63" max="63"/>
    <col width="14" customWidth="1" min="64" max="64"/>
    <col width="20" customWidth="1" min="65" max="65"/>
    <col width="14" customWidth="1" min="66" max="66"/>
    <col width="20" customWidth="1" min="67" max="67"/>
    <col width="14" customWidth="1" min="68" max="68"/>
    <col width="20" customWidth="1" min="69" max="69"/>
    <col width="14" customWidth="1" min="70" max="70"/>
    <col width="20" customWidth="1" min="71" max="71"/>
    <col width="14" customWidth="1" min="72" max="72"/>
    <col width="20" customWidth="1" min="73" max="73"/>
    <col width="14" customWidth="1" min="74" max="74"/>
    <col width="20" customWidth="1" min="75" max="75"/>
    <col width="14" customWidth="1" min="76" max="76"/>
    <col width="20" customWidth="1" min="77" max="77"/>
    <col width="14" customWidth="1" min="78" max="78"/>
    <col width="28" customWidth="1" min="79" max="79"/>
    <col width="20" customWidth="1" min="80" max="80"/>
    <col width="14" customWidth="1" min="81" max="81"/>
    <col width="12" customWidth="1" min="82" max="82"/>
    <col width="20" customWidth="1" min="83" max="83"/>
    <col width="14" customWidth="1" min="84" max="84"/>
    <col width="12" customWidth="1" min="85" max="85"/>
    <col width="20" customWidth="1" min="86" max="86"/>
    <col width="14" customWidth="1" min="87" max="87"/>
    <col width="12" customWidth="1" min="88" max="88"/>
    <col width="20" customWidth="1" min="89" max="89"/>
    <col width="14" customWidth="1" min="90" max="90"/>
    <col width="12" customWidth="1" min="91" max="91"/>
    <col width="20" customWidth="1" min="92" max="92"/>
    <col width="14" customWidth="1" min="93" max="93"/>
    <col width="12" customWidth="1" min="94" max="94"/>
    <col width="20" customWidth="1" min="95" max="95"/>
    <col width="20" customWidth="1" min="96" max="96"/>
    <col width="20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30" customWidth="1" min="103" max="103"/>
    <col width="12" customWidth="1" min="104" max="104"/>
    <col width="12" customWidth="1" min="105" max="105"/>
    <col width="13" customWidth="1" min="106" max="106"/>
    <col width="14" customWidth="1" min="107" max="107"/>
  </cols>
  <sheetData>
    <row r="1" ht="42" customHeight="1">
      <c r="A1" s="6" t="inlineStr">
        <is>
          <t>Visit ID</t>
        </is>
      </c>
      <c r="B1" s="6" t="inlineStr">
        <is>
          <t>Date of Visit</t>
        </is>
      </c>
      <c r="C1" s="6" t="inlineStr">
        <is>
          <t>Production Title</t>
        </is>
      </c>
      <c r="D1" s="6" t="inlineStr">
        <is>
          <t>Field Representative</t>
        </is>
      </c>
      <c r="E1" s="7" t="inlineStr">
        <is>
          <t>L479 No.</t>
        </is>
      </c>
      <c r="F1" s="7" t="inlineStr">
        <is>
          <t>Date Production Notified</t>
        </is>
      </c>
      <c r="G1" s="7" t="inlineStr">
        <is>
          <t>Production Phase</t>
        </is>
      </c>
      <c r="H1" s="7" t="inlineStr">
        <is>
          <t>Arrival Time</t>
        </is>
      </c>
      <c r="I1" s="7" t="inlineStr">
        <is>
          <t>Departure Time</t>
        </is>
      </c>
      <c r="J1" s="7" t="inlineStr">
        <is>
          <t>Reason for Visit</t>
        </is>
      </c>
      <c r="K1" s="7" t="inlineStr">
        <is>
          <t>Crew Call</t>
        </is>
      </c>
      <c r="L1" s="7" t="inlineStr">
        <is>
          <t>Crew Day</t>
        </is>
      </c>
      <c r="M1" s="7" t="inlineStr">
        <is>
          <t>Area: Stage</t>
        </is>
      </c>
      <c r="N1" s="7" t="inlineStr">
        <is>
          <t>Area: Location</t>
        </is>
      </c>
      <c r="O1" s="7" t="inlineStr">
        <is>
          <t>Area: Mill</t>
        </is>
      </c>
      <c r="P1" s="7" t="inlineStr">
        <is>
          <t>Area: Lockup</t>
        </is>
      </c>
      <c r="Q1" s="7" t="inlineStr">
        <is>
          <t>Area: Other</t>
        </is>
      </c>
      <c r="R1" s="7" t="inlineStr">
        <is>
          <t>Visit Notes</t>
        </is>
      </c>
      <c r="S1" s="7" t="inlineStr">
        <is>
          <t>Wx: Sunny</t>
        </is>
      </c>
      <c r="T1" s="7" t="inlineStr">
        <is>
          <t>Wx: Cloudy</t>
        </is>
      </c>
      <c r="U1" s="7" t="inlineStr">
        <is>
          <t>Wx: Rain</t>
        </is>
      </c>
      <c r="V1" s="7" t="inlineStr">
        <is>
          <t>Wx: Snow</t>
        </is>
      </c>
      <c r="W1" s="7" t="inlineStr">
        <is>
          <t>Wx: Lightning</t>
        </is>
      </c>
      <c r="X1" s="7" t="inlineStr">
        <is>
          <t>Wx: Winds</t>
        </is>
      </c>
      <c r="Y1" s="7" t="inlineStr">
        <is>
          <t>Wx: Extreme Cold</t>
        </is>
      </c>
      <c r="Z1" s="7" t="inlineStr">
        <is>
          <t>Wx: Extreme Heat</t>
        </is>
      </c>
      <c r="AA1" s="8" t="inlineStr">
        <is>
          <t>Steward 1 Name</t>
        </is>
      </c>
      <c r="AB1" s="8" t="inlineStr">
        <is>
          <t>Steward 1 Status</t>
        </is>
      </c>
      <c r="AC1" s="8" t="inlineStr">
        <is>
          <t>Steward 1 Start Date</t>
        </is>
      </c>
      <c r="AD1" s="8" t="inlineStr">
        <is>
          <t>Steward 2 Name</t>
        </is>
      </c>
      <c r="AE1" s="8" t="inlineStr">
        <is>
          <t>Steward 2 Status</t>
        </is>
      </c>
      <c r="AF1" s="8" t="inlineStr">
        <is>
          <t>Steward 2 Start Date</t>
        </is>
      </c>
      <c r="AG1" s="8" t="inlineStr">
        <is>
          <t>Union Crew 1 Name</t>
        </is>
      </c>
      <c r="AH1" s="8" t="inlineStr">
        <is>
          <t>Union Crew 1 Role</t>
        </is>
      </c>
      <c r="AI1" s="8" t="inlineStr">
        <is>
          <t>Union Crew 1 Notes/Issues</t>
        </is>
      </c>
      <c r="AJ1" s="8" t="inlineStr">
        <is>
          <t>Union Crew 2 Name</t>
        </is>
      </c>
      <c r="AK1" s="8" t="inlineStr">
        <is>
          <t>Union Crew 2 Role</t>
        </is>
      </c>
      <c r="AL1" s="8" t="inlineStr">
        <is>
          <t>Union Crew 2 Notes/Issues</t>
        </is>
      </c>
      <c r="AM1" s="8" t="inlineStr">
        <is>
          <t>Union Crew 3 Name</t>
        </is>
      </c>
      <c r="AN1" s="8" t="inlineStr">
        <is>
          <t>Union Crew 3 Role</t>
        </is>
      </c>
      <c r="AO1" s="8" t="inlineStr">
        <is>
          <t>Union Crew 3 Notes/Issues</t>
        </is>
      </c>
      <c r="AP1" s="8" t="inlineStr">
        <is>
          <t>Union Crew 4 Name</t>
        </is>
      </c>
      <c r="AQ1" s="8" t="inlineStr">
        <is>
          <t>Union Crew 4 Role</t>
        </is>
      </c>
      <c r="AR1" s="8" t="inlineStr">
        <is>
          <t>Union Crew 4 Notes/Issues</t>
        </is>
      </c>
      <c r="AS1" s="8" t="inlineStr">
        <is>
          <t>Section 2 Notes</t>
        </is>
      </c>
      <c r="AT1" s="8" t="inlineStr">
        <is>
          <t>Dept: Art</t>
        </is>
      </c>
      <c r="AU1" s="8" t="inlineStr">
        <is>
          <t>Dept: Construction</t>
        </is>
      </c>
      <c r="AV1" s="8" t="inlineStr">
        <is>
          <t>Dept: Costumes</t>
        </is>
      </c>
      <c r="AW1" s="8" t="inlineStr">
        <is>
          <t>Dept: Craft Service</t>
        </is>
      </c>
      <c r="AX1" s="8" t="inlineStr">
        <is>
          <t>Dept: Electrical</t>
        </is>
      </c>
      <c r="AY1" s="8" t="inlineStr">
        <is>
          <t>Dept: Greens</t>
        </is>
      </c>
      <c r="AZ1" s="8" t="inlineStr">
        <is>
          <t>Dept: Grip</t>
        </is>
      </c>
      <c r="BA1" s="8" t="inlineStr">
        <is>
          <t>Dept: Locations</t>
        </is>
      </c>
      <c r="BB1" s="8" t="inlineStr">
        <is>
          <t>Dept: Medic</t>
        </is>
      </c>
      <c r="BC1" s="8" t="inlineStr">
        <is>
          <t>Dept: Paint</t>
        </is>
      </c>
      <c r="BD1" s="8" t="inlineStr">
        <is>
          <t>Dept: Plaster</t>
        </is>
      </c>
      <c r="BE1" s="8" t="inlineStr">
        <is>
          <t>Dept: Props</t>
        </is>
      </c>
      <c r="BF1" s="8" t="inlineStr">
        <is>
          <t>Dept: Set Dec</t>
        </is>
      </c>
      <c r="BG1" s="8" t="inlineStr">
        <is>
          <t>Dept: Set Teacher</t>
        </is>
      </c>
      <c r="BH1" s="8" t="inlineStr">
        <is>
          <t>Dept: Sound</t>
        </is>
      </c>
      <c r="BI1" s="8" t="inlineStr">
        <is>
          <t>Dept: SPFX</t>
        </is>
      </c>
      <c r="BJ1" s="8" t="inlineStr">
        <is>
          <t>Dept: Video</t>
        </is>
      </c>
      <c r="BK1" s="9" t="inlineStr">
        <is>
          <t>Non-Union 1 Name</t>
        </is>
      </c>
      <c r="BL1" s="9" t="inlineStr">
        <is>
          <t>Non-Union 1 Dept</t>
        </is>
      </c>
      <c r="BM1" s="9" t="inlineStr">
        <is>
          <t>Non-Union 2 Name</t>
        </is>
      </c>
      <c r="BN1" s="9" t="inlineStr">
        <is>
          <t>Non-Union 2 Dept</t>
        </is>
      </c>
      <c r="BO1" s="9" t="inlineStr">
        <is>
          <t>Non-Union 3 Name</t>
        </is>
      </c>
      <c r="BP1" s="9" t="inlineStr">
        <is>
          <t>Non-Union 3 Dept</t>
        </is>
      </c>
      <c r="BQ1" s="9" t="inlineStr">
        <is>
          <t>Non-Union 4 Name</t>
        </is>
      </c>
      <c r="BR1" s="9" t="inlineStr">
        <is>
          <t>Non-Union 4 Dept</t>
        </is>
      </c>
      <c r="BS1" s="9" t="inlineStr">
        <is>
          <t>Non-Union 5 Name</t>
        </is>
      </c>
      <c r="BT1" s="9" t="inlineStr">
        <is>
          <t>Non-Union 5 Dept</t>
        </is>
      </c>
      <c r="BU1" s="9" t="inlineStr">
        <is>
          <t>Non-Union 6 Name</t>
        </is>
      </c>
      <c r="BV1" s="9" t="inlineStr">
        <is>
          <t>Non-Union 6 Dept</t>
        </is>
      </c>
      <c r="BW1" s="9" t="inlineStr">
        <is>
          <t>Non-Union 7 Name</t>
        </is>
      </c>
      <c r="BX1" s="9" t="inlineStr">
        <is>
          <t>Non-Union 7 Dept</t>
        </is>
      </c>
      <c r="BY1" s="9" t="inlineStr">
        <is>
          <t>Non-Union 8 Name</t>
        </is>
      </c>
      <c r="BZ1" s="9" t="inlineStr">
        <is>
          <t>Non-Union 8 Dept</t>
        </is>
      </c>
      <c r="CA1" s="9" t="inlineStr">
        <is>
          <t>Section 3 Notes</t>
        </is>
      </c>
      <c r="CB1" s="10" t="inlineStr">
        <is>
          <t>Apparel 1 Name</t>
        </is>
      </c>
      <c r="CC1" s="10" t="inlineStr">
        <is>
          <t>Apparel 1 Phone</t>
        </is>
      </c>
      <c r="CD1" s="10" t="inlineStr">
        <is>
          <t>Apparel 1 Size</t>
        </is>
      </c>
      <c r="CE1" s="10" t="inlineStr">
        <is>
          <t>Apparel 2 Name</t>
        </is>
      </c>
      <c r="CF1" s="10" t="inlineStr">
        <is>
          <t>Apparel 2 Phone</t>
        </is>
      </c>
      <c r="CG1" s="10" t="inlineStr">
        <is>
          <t>Apparel 2 Size</t>
        </is>
      </c>
      <c r="CH1" s="10" t="inlineStr">
        <is>
          <t>Apparel 3 Name</t>
        </is>
      </c>
      <c r="CI1" s="10" t="inlineStr">
        <is>
          <t>Apparel 3 Phone</t>
        </is>
      </c>
      <c r="CJ1" s="10" t="inlineStr">
        <is>
          <t>Apparel 3 Size</t>
        </is>
      </c>
      <c r="CK1" s="10" t="inlineStr">
        <is>
          <t>Apparel 4 Name</t>
        </is>
      </c>
      <c r="CL1" s="10" t="inlineStr">
        <is>
          <t>Apparel 4 Phone</t>
        </is>
      </c>
      <c r="CM1" s="10" t="inlineStr">
        <is>
          <t>Apparel 4 Size</t>
        </is>
      </c>
      <c r="CN1" s="10" t="inlineStr">
        <is>
          <t>Apparel 5 Name</t>
        </is>
      </c>
      <c r="CO1" s="10" t="inlineStr">
        <is>
          <t>Apparel 5 Phone</t>
        </is>
      </c>
      <c r="CP1" s="10" t="inlineStr">
        <is>
          <t>Apparel 5 Size</t>
        </is>
      </c>
      <c r="CQ1" s="11" t="inlineStr">
        <is>
          <t>UPM/Producer 1</t>
        </is>
      </c>
      <c r="CR1" s="11" t="inlineStr">
        <is>
          <t>UPM/Producer 2</t>
        </is>
      </c>
      <c r="CS1" s="11" t="inlineStr">
        <is>
          <t>Production Coordinator</t>
        </is>
      </c>
      <c r="CT1" s="11" t="inlineStr">
        <is>
          <t>Follow-up: IATSE Project Info Sheet</t>
        </is>
      </c>
      <c r="CU1" s="11" t="inlineStr">
        <is>
          <t>Follow-up: Current Crewlist</t>
        </is>
      </c>
      <c r="CV1" s="11" t="inlineStr">
        <is>
          <t>Follow-up: 479 Roster Provided</t>
        </is>
      </c>
      <c r="CW1" s="11" t="inlineStr">
        <is>
          <t>Follow-up: Availability List Provided</t>
        </is>
      </c>
      <c r="CX1" s="11" t="inlineStr">
        <is>
          <t>Follow-up: Lunch Reporting Schedule</t>
        </is>
      </c>
      <c r="CY1" s="11" t="inlineStr">
        <is>
          <t>Section 5 Notes</t>
        </is>
      </c>
      <c r="CZ1" s="12" t="inlineStr">
        <is>
          <t># Union Crew</t>
        </is>
      </c>
      <c r="DA1" s="12" t="inlineStr">
        <is>
          <t># Non-Union</t>
        </is>
      </c>
      <c r="DB1" s="12" t="inlineStr">
        <is>
          <t># Depts Visited</t>
        </is>
      </c>
      <c r="DC1" s="12" t="inlineStr">
        <is>
          <t># Follow-ups Done</t>
        </is>
      </c>
    </row>
    <row r="2">
      <c r="A2" s="13" t="inlineStr">
        <is>
          <t>2026-001</t>
        </is>
      </c>
      <c r="B2" s="14" t="inlineStr">
        <is>
          <t>2026-07-15</t>
        </is>
      </c>
      <c r="C2" s="13" t="inlineStr">
        <is>
          <t>Northern Lights (S2)</t>
        </is>
      </c>
      <c r="D2" s="13" t="inlineStr">
        <is>
          <t>J. Doe</t>
        </is>
      </c>
      <c r="E2" s="13" t="inlineStr">
        <is>
          <t>250415-001</t>
        </is>
      </c>
      <c r="F2" s="14" t="inlineStr">
        <is>
          <t>2026-07-10</t>
        </is>
      </c>
      <c r="G2" s="13" t="inlineStr">
        <is>
          <t>Shooting</t>
        </is>
      </c>
      <c r="H2" s="13" t="inlineStr">
        <is>
          <t>9:30 AM</t>
        </is>
      </c>
      <c r="I2" s="13" t="inlineStr">
        <is>
          <t>1:15 PM</t>
        </is>
      </c>
      <c r="J2" s="13" t="inlineStr">
        <is>
          <t>routine</t>
        </is>
      </c>
      <c r="K2" s="13" t="inlineStr">
        <is>
          <t>7:00 AM</t>
        </is>
      </c>
      <c r="L2" s="13" t="inlineStr">
        <is>
          <t>Day</t>
        </is>
      </c>
      <c r="M2" s="13" t="inlineStr">
        <is>
          <t>Yes</t>
        </is>
      </c>
      <c r="N2" s="13" t="inlineStr">
        <is>
          <t>Yes</t>
        </is>
      </c>
      <c r="O2" s="15" t="n"/>
      <c r="P2" s="15" t="n"/>
      <c r="Q2" s="15" t="n"/>
      <c r="R2" s="13" t="inlineStr">
        <is>
          <t>All quiet. Stage 4 base camp.</t>
        </is>
      </c>
      <c r="S2" s="15" t="n"/>
      <c r="T2" s="13" t="inlineStr">
        <is>
          <t>Yes</t>
        </is>
      </c>
      <c r="U2" s="15" t="n"/>
      <c r="V2" s="15" t="n"/>
      <c r="W2" s="15" t="n"/>
      <c r="X2" s="13" t="inlineStr">
        <is>
          <t>Yes</t>
        </is>
      </c>
      <c r="Y2" s="15" t="n"/>
      <c r="Z2" s="15" t="n"/>
      <c r="AA2" s="13" t="inlineStr">
        <is>
          <t>A. Smith</t>
        </is>
      </c>
      <c r="AB2" s="13" t="inlineStr">
        <is>
          <t>On Production</t>
        </is>
      </c>
      <c r="AC2" s="14" t="inlineStr">
        <is>
          <t>2026-06-01</t>
        </is>
      </c>
      <c r="AD2" s="15" t="n"/>
      <c r="AE2" s="15" t="n"/>
      <c r="AF2" s="16" t="n"/>
      <c r="AG2" s="13" t="inlineStr">
        <is>
          <t>R. Lee</t>
        </is>
      </c>
      <c r="AH2" s="13" t="inlineStr">
        <is>
          <t>Key</t>
        </is>
      </c>
      <c r="AI2" s="13" t="inlineStr">
        <is>
          <t>None</t>
        </is>
      </c>
      <c r="AJ2" s="13" t="inlineStr">
        <is>
          <t>M. Ford</t>
        </is>
      </c>
      <c r="AK2" s="13" t="inlineStr">
        <is>
          <t>2nd</t>
        </is>
      </c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3" t="inlineStr">
        <is>
          <t>Yes</t>
        </is>
      </c>
      <c r="AY2" s="15" t="n"/>
      <c r="AZ2" s="13" t="inlineStr">
        <is>
          <t>Yes</t>
        </is>
      </c>
      <c r="BA2" s="15" t="n"/>
      <c r="BB2" s="15" t="n"/>
      <c r="BC2" s="15" t="n"/>
      <c r="BD2" s="15" t="n"/>
      <c r="BE2" s="15" t="n"/>
      <c r="BF2" s="13" t="inlineStr">
        <is>
          <t>Yes</t>
        </is>
      </c>
      <c r="BG2" s="15" t="n"/>
      <c r="BH2" s="15" t="n"/>
      <c r="BI2" s="15" t="n"/>
      <c r="BJ2" s="15" t="n"/>
      <c r="BK2" s="13" t="inlineStr">
        <is>
          <t>T. Nguyen</t>
        </is>
      </c>
      <c r="BL2" s="13" t="inlineStr">
        <is>
          <t>Construction</t>
        </is>
      </c>
      <c r="BM2" s="15" t="n"/>
      <c r="BN2" s="15" t="n"/>
      <c r="BO2" s="15" t="n"/>
      <c r="BP2" s="15" t="n"/>
      <c r="BQ2" s="15" t="n"/>
      <c r="BR2" s="15" t="n"/>
      <c r="BS2" s="15" t="n"/>
      <c r="BT2" s="15" t="n"/>
      <c r="BU2" s="15" t="n"/>
      <c r="BV2" s="15" t="n"/>
      <c r="BW2" s="15" t="n"/>
      <c r="BX2" s="15" t="n"/>
      <c r="BY2" s="15" t="n"/>
      <c r="BZ2" s="15" t="n"/>
      <c r="CA2" s="15" t="n"/>
      <c r="CB2" s="13" t="inlineStr">
        <is>
          <t>R. Lee</t>
        </is>
      </c>
      <c r="CC2" s="13" t="inlineStr">
        <is>
          <t>555-0142</t>
        </is>
      </c>
      <c r="CD2" s="13" t="inlineStr">
        <is>
          <t>Large</t>
        </is>
      </c>
      <c r="CE2" s="15" t="n"/>
      <c r="CF2" s="15" t="n"/>
      <c r="CG2" s="15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3" t="inlineStr">
        <is>
          <t>C. Ramos</t>
        </is>
      </c>
      <c r="CR2" s="15" t="n"/>
      <c r="CS2" s="13" t="inlineStr">
        <is>
          <t>D. Park</t>
        </is>
      </c>
      <c r="CT2" s="15" t="n"/>
      <c r="CU2" s="13" t="inlineStr">
        <is>
          <t>Yes</t>
        </is>
      </c>
      <c r="CV2" s="13" t="inlineStr">
        <is>
          <t>Yes</t>
        </is>
      </c>
      <c r="CW2" s="15" t="n"/>
      <c r="CX2" s="15" t="n"/>
      <c r="CY2" s="13" t="inlineStr">
        <is>
          <t>Requested updated crew list; provided 479 roster.</t>
        </is>
      </c>
      <c r="CZ2" s="17">
        <f>IF(C2="","",COUNTA(AG2,AJ2,AM2,AP2))</f>
        <v/>
      </c>
      <c r="DA2" s="17">
        <f>IF(C2="","",COUNTA(BK2,BM2,BO2,BQ2,BS2,BU2,BW2,BY2))</f>
        <v/>
      </c>
      <c r="DB2" s="17">
        <f>IF(C2="","",COUNTIF(AT2:BJ2,"Yes"))</f>
        <v/>
      </c>
      <c r="DC2" s="17">
        <f>IF(C2="","",COUNTIF(CT2:CX2,"Yes"))</f>
        <v/>
      </c>
    </row>
    <row r="3">
      <c r="A3" s="15" t="n"/>
      <c r="B3" s="16" t="n"/>
      <c r="C3" s="15" t="n"/>
      <c r="D3" s="15" t="n"/>
      <c r="E3" s="15" t="n"/>
      <c r="F3" s="16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6" t="n"/>
      <c r="AD3" s="15" t="n"/>
      <c r="AE3" s="15" t="n"/>
      <c r="AF3" s="16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7">
        <f>IF(C3="","",COUNTA(AG3,AJ3,AM3,AP3))</f>
        <v/>
      </c>
      <c r="DA3" s="17">
        <f>IF(C3="","",COUNTA(BK3,BM3,BO3,BQ3,BS3,BU3,BW3,BY3))</f>
        <v/>
      </c>
      <c r="DB3" s="17">
        <f>IF(C3="","",COUNTIF(AT3:BJ3,"Yes"))</f>
        <v/>
      </c>
      <c r="DC3" s="17">
        <f>IF(C3="","",COUNTIF(CT3:CX3,"Yes"))</f>
        <v/>
      </c>
    </row>
    <row r="4">
      <c r="A4" s="15" t="n"/>
      <c r="B4" s="16" t="n"/>
      <c r="C4" s="15" t="n"/>
      <c r="D4" s="15" t="n"/>
      <c r="E4" s="15" t="n"/>
      <c r="F4" s="16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6" t="n"/>
      <c r="AD4" s="15" t="n"/>
      <c r="AE4" s="15" t="n"/>
      <c r="AF4" s="16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7">
        <f>IF(C4="","",COUNTA(AG4,AJ4,AM4,AP4))</f>
        <v/>
      </c>
      <c r="DA4" s="17">
        <f>IF(C4="","",COUNTA(BK4,BM4,BO4,BQ4,BS4,BU4,BW4,BY4))</f>
        <v/>
      </c>
      <c r="DB4" s="17">
        <f>IF(C4="","",COUNTIF(AT4:BJ4,"Yes"))</f>
        <v/>
      </c>
      <c r="DC4" s="17">
        <f>IF(C4="","",COUNTIF(CT4:CX4,"Yes"))</f>
        <v/>
      </c>
    </row>
    <row r="5">
      <c r="A5" s="15" t="n"/>
      <c r="B5" s="16" t="n"/>
      <c r="C5" s="15" t="n"/>
      <c r="D5" s="15" t="n"/>
      <c r="E5" s="15" t="n"/>
      <c r="F5" s="16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6" t="n"/>
      <c r="AD5" s="15" t="n"/>
      <c r="AE5" s="15" t="n"/>
      <c r="AF5" s="16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7">
        <f>IF(C5="","",COUNTA(AG5,AJ5,AM5,AP5))</f>
        <v/>
      </c>
      <c r="DA5" s="17">
        <f>IF(C5="","",COUNTA(BK5,BM5,BO5,BQ5,BS5,BU5,BW5,BY5))</f>
        <v/>
      </c>
      <c r="DB5" s="17">
        <f>IF(C5="","",COUNTIF(AT5:BJ5,"Yes"))</f>
        <v/>
      </c>
      <c r="DC5" s="17">
        <f>IF(C5="","",COUNTIF(CT5:CX5,"Yes"))</f>
        <v/>
      </c>
    </row>
    <row r="6">
      <c r="A6" s="15" t="n"/>
      <c r="B6" s="16" t="n"/>
      <c r="C6" s="15" t="n"/>
      <c r="D6" s="15" t="n"/>
      <c r="E6" s="15" t="n"/>
      <c r="F6" s="16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6" t="n"/>
      <c r="AD6" s="15" t="n"/>
      <c r="AE6" s="15" t="n"/>
      <c r="AF6" s="16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7">
        <f>IF(C6="","",COUNTA(AG6,AJ6,AM6,AP6))</f>
        <v/>
      </c>
      <c r="DA6" s="17">
        <f>IF(C6="","",COUNTA(BK6,BM6,BO6,BQ6,BS6,BU6,BW6,BY6))</f>
        <v/>
      </c>
      <c r="DB6" s="17">
        <f>IF(C6="","",COUNTIF(AT6:BJ6,"Yes"))</f>
        <v/>
      </c>
      <c r="DC6" s="17">
        <f>IF(C6="","",COUNTIF(CT6:CX6,"Yes"))</f>
        <v/>
      </c>
    </row>
    <row r="7">
      <c r="A7" s="15" t="n"/>
      <c r="B7" s="16" t="n"/>
      <c r="C7" s="15" t="n"/>
      <c r="D7" s="15" t="n"/>
      <c r="E7" s="15" t="n"/>
      <c r="F7" s="16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6" t="n"/>
      <c r="AD7" s="15" t="n"/>
      <c r="AE7" s="15" t="n"/>
      <c r="AF7" s="16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7">
        <f>IF(C7="","",COUNTA(AG7,AJ7,AM7,AP7))</f>
        <v/>
      </c>
      <c r="DA7" s="17">
        <f>IF(C7="","",COUNTA(BK7,BM7,BO7,BQ7,BS7,BU7,BW7,BY7))</f>
        <v/>
      </c>
      <c r="DB7" s="17">
        <f>IF(C7="","",COUNTIF(AT7:BJ7,"Yes"))</f>
        <v/>
      </c>
      <c r="DC7" s="17">
        <f>IF(C7="","",COUNTIF(CT7:CX7,"Yes"))</f>
        <v/>
      </c>
    </row>
    <row r="8">
      <c r="A8" s="15" t="n"/>
      <c r="B8" s="16" t="n"/>
      <c r="C8" s="15" t="n"/>
      <c r="D8" s="15" t="n"/>
      <c r="E8" s="15" t="n"/>
      <c r="F8" s="16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6" t="n"/>
      <c r="AD8" s="15" t="n"/>
      <c r="AE8" s="15" t="n"/>
      <c r="AF8" s="16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7">
        <f>IF(C8="","",COUNTA(AG8,AJ8,AM8,AP8))</f>
        <v/>
      </c>
      <c r="DA8" s="17">
        <f>IF(C8="","",COUNTA(BK8,BM8,BO8,BQ8,BS8,BU8,BW8,BY8))</f>
        <v/>
      </c>
      <c r="DB8" s="17">
        <f>IF(C8="","",COUNTIF(AT8:BJ8,"Yes"))</f>
        <v/>
      </c>
      <c r="DC8" s="17">
        <f>IF(C8="","",COUNTIF(CT8:CX8,"Yes"))</f>
        <v/>
      </c>
    </row>
    <row r="9">
      <c r="A9" s="15" t="n"/>
      <c r="B9" s="16" t="n"/>
      <c r="C9" s="15" t="n"/>
      <c r="D9" s="15" t="n"/>
      <c r="E9" s="15" t="n"/>
      <c r="F9" s="16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6" t="n"/>
      <c r="AD9" s="15" t="n"/>
      <c r="AE9" s="15" t="n"/>
      <c r="AF9" s="16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7">
        <f>IF(C9="","",COUNTA(AG9,AJ9,AM9,AP9))</f>
        <v/>
      </c>
      <c r="DA9" s="17">
        <f>IF(C9="","",COUNTA(BK9,BM9,BO9,BQ9,BS9,BU9,BW9,BY9))</f>
        <v/>
      </c>
      <c r="DB9" s="17">
        <f>IF(C9="","",COUNTIF(AT9:BJ9,"Yes"))</f>
        <v/>
      </c>
      <c r="DC9" s="17">
        <f>IF(C9="","",COUNTIF(CT9:CX9,"Yes"))</f>
        <v/>
      </c>
    </row>
    <row r="10">
      <c r="A10" s="15" t="n"/>
      <c r="B10" s="16" t="n"/>
      <c r="C10" s="15" t="n"/>
      <c r="D10" s="15" t="n"/>
      <c r="E10" s="15" t="n"/>
      <c r="F10" s="16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6" t="n"/>
      <c r="AD10" s="15" t="n"/>
      <c r="AE10" s="15" t="n"/>
      <c r="AF10" s="16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7">
        <f>IF(C10="","",COUNTA(AG10,AJ10,AM10,AP10))</f>
        <v/>
      </c>
      <c r="DA10" s="17">
        <f>IF(C10="","",COUNTA(BK10,BM10,BO10,BQ10,BS10,BU10,BW10,BY10))</f>
        <v/>
      </c>
      <c r="DB10" s="17">
        <f>IF(C10="","",COUNTIF(AT10:BJ10,"Yes"))</f>
        <v/>
      </c>
      <c r="DC10" s="17">
        <f>IF(C10="","",COUNTIF(CT10:CX10,"Yes"))</f>
        <v/>
      </c>
    </row>
    <row r="11">
      <c r="A11" s="15" t="n"/>
      <c r="B11" s="16" t="n"/>
      <c r="C11" s="15" t="n"/>
      <c r="D11" s="15" t="n"/>
      <c r="E11" s="15" t="n"/>
      <c r="F11" s="16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6" t="n"/>
      <c r="AD11" s="15" t="n"/>
      <c r="AE11" s="15" t="n"/>
      <c r="AF11" s="16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7">
        <f>IF(C11="","",COUNTA(AG11,AJ11,AM11,AP11))</f>
        <v/>
      </c>
      <c r="DA11" s="17">
        <f>IF(C11="","",COUNTA(BK11,BM11,BO11,BQ11,BS11,BU11,BW11,BY11))</f>
        <v/>
      </c>
      <c r="DB11" s="17">
        <f>IF(C11="","",COUNTIF(AT11:BJ11,"Yes"))</f>
        <v/>
      </c>
      <c r="DC11" s="17">
        <f>IF(C11="","",COUNTIF(CT11:CX11,"Yes"))</f>
        <v/>
      </c>
    </row>
    <row r="12">
      <c r="A12" s="15" t="n"/>
      <c r="B12" s="16" t="n"/>
      <c r="C12" s="15" t="n"/>
      <c r="D12" s="15" t="n"/>
      <c r="E12" s="15" t="n"/>
      <c r="F12" s="16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6" t="n"/>
      <c r="AD12" s="15" t="n"/>
      <c r="AE12" s="15" t="n"/>
      <c r="AF12" s="16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7">
        <f>IF(C12="","",COUNTA(AG12,AJ12,AM12,AP12))</f>
        <v/>
      </c>
      <c r="DA12" s="17">
        <f>IF(C12="","",COUNTA(BK12,BM12,BO12,BQ12,BS12,BU12,BW12,BY12))</f>
        <v/>
      </c>
      <c r="DB12" s="17">
        <f>IF(C12="","",COUNTIF(AT12:BJ12,"Yes"))</f>
        <v/>
      </c>
      <c r="DC12" s="17">
        <f>IF(C12="","",COUNTIF(CT12:CX12,"Yes"))</f>
        <v/>
      </c>
    </row>
    <row r="13">
      <c r="A13" s="15" t="n"/>
      <c r="B13" s="16" t="n"/>
      <c r="C13" s="15" t="n"/>
      <c r="D13" s="15" t="n"/>
      <c r="E13" s="15" t="n"/>
      <c r="F13" s="16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6" t="n"/>
      <c r="AD13" s="15" t="n"/>
      <c r="AE13" s="15" t="n"/>
      <c r="AF13" s="16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7">
        <f>IF(C13="","",COUNTA(AG13,AJ13,AM13,AP13))</f>
        <v/>
      </c>
      <c r="DA13" s="17">
        <f>IF(C13="","",COUNTA(BK13,BM13,BO13,BQ13,BS13,BU13,BW13,BY13))</f>
        <v/>
      </c>
      <c r="DB13" s="17">
        <f>IF(C13="","",COUNTIF(AT13:BJ13,"Yes"))</f>
        <v/>
      </c>
      <c r="DC13" s="17">
        <f>IF(C13="","",COUNTIF(CT13:CX13,"Yes"))</f>
        <v/>
      </c>
    </row>
    <row r="14">
      <c r="A14" s="15" t="n"/>
      <c r="B14" s="16" t="n"/>
      <c r="C14" s="15" t="n"/>
      <c r="D14" s="15" t="n"/>
      <c r="E14" s="15" t="n"/>
      <c r="F14" s="16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6" t="n"/>
      <c r="AD14" s="15" t="n"/>
      <c r="AE14" s="15" t="n"/>
      <c r="AF14" s="16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7">
        <f>IF(C14="","",COUNTA(AG14,AJ14,AM14,AP14))</f>
        <v/>
      </c>
      <c r="DA14" s="17">
        <f>IF(C14="","",COUNTA(BK14,BM14,BO14,BQ14,BS14,BU14,BW14,BY14))</f>
        <v/>
      </c>
      <c r="DB14" s="17">
        <f>IF(C14="","",COUNTIF(AT14:BJ14,"Yes"))</f>
        <v/>
      </c>
      <c r="DC14" s="17">
        <f>IF(C14="","",COUNTIF(CT14:CX14,"Yes"))</f>
        <v/>
      </c>
    </row>
    <row r="15">
      <c r="A15" s="15" t="n"/>
      <c r="B15" s="16" t="n"/>
      <c r="C15" s="15" t="n"/>
      <c r="D15" s="15" t="n"/>
      <c r="E15" s="15" t="n"/>
      <c r="F15" s="16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6" t="n"/>
      <c r="AD15" s="15" t="n"/>
      <c r="AE15" s="15" t="n"/>
      <c r="AF15" s="16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7">
        <f>IF(C15="","",COUNTA(AG15,AJ15,AM15,AP15))</f>
        <v/>
      </c>
      <c r="DA15" s="17">
        <f>IF(C15="","",COUNTA(BK15,BM15,BO15,BQ15,BS15,BU15,BW15,BY15))</f>
        <v/>
      </c>
      <c r="DB15" s="17">
        <f>IF(C15="","",COUNTIF(AT15:BJ15,"Yes"))</f>
        <v/>
      </c>
      <c r="DC15" s="17">
        <f>IF(C15="","",COUNTIF(CT15:CX15,"Yes"))</f>
        <v/>
      </c>
    </row>
    <row r="16">
      <c r="A16" s="15" t="n"/>
      <c r="B16" s="16" t="n"/>
      <c r="C16" s="15" t="n"/>
      <c r="D16" s="15" t="n"/>
      <c r="E16" s="15" t="n"/>
      <c r="F16" s="16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6" t="n"/>
      <c r="AD16" s="15" t="n"/>
      <c r="AE16" s="15" t="n"/>
      <c r="AF16" s="16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7">
        <f>IF(C16="","",COUNTA(AG16,AJ16,AM16,AP16))</f>
        <v/>
      </c>
      <c r="DA16" s="17">
        <f>IF(C16="","",COUNTA(BK16,BM16,BO16,BQ16,BS16,BU16,BW16,BY16))</f>
        <v/>
      </c>
      <c r="DB16" s="17">
        <f>IF(C16="","",COUNTIF(AT16:BJ16,"Yes"))</f>
        <v/>
      </c>
      <c r="DC16" s="17">
        <f>IF(C16="","",COUNTIF(CT16:CX16,"Yes"))</f>
        <v/>
      </c>
    </row>
    <row r="17">
      <c r="A17" s="15" t="n"/>
      <c r="B17" s="16" t="n"/>
      <c r="C17" s="15" t="n"/>
      <c r="D17" s="15" t="n"/>
      <c r="E17" s="15" t="n"/>
      <c r="F17" s="16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6" t="n"/>
      <c r="AD17" s="15" t="n"/>
      <c r="AE17" s="15" t="n"/>
      <c r="AF17" s="16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7">
        <f>IF(C17="","",COUNTA(AG17,AJ17,AM17,AP17))</f>
        <v/>
      </c>
      <c r="DA17" s="17">
        <f>IF(C17="","",COUNTA(BK17,BM17,BO17,BQ17,BS17,BU17,BW17,BY17))</f>
        <v/>
      </c>
      <c r="DB17" s="17">
        <f>IF(C17="","",COUNTIF(AT17:BJ17,"Yes"))</f>
        <v/>
      </c>
      <c r="DC17" s="17">
        <f>IF(C17="","",COUNTIF(CT17:CX17,"Yes"))</f>
        <v/>
      </c>
    </row>
    <row r="18">
      <c r="A18" s="15" t="n"/>
      <c r="B18" s="16" t="n"/>
      <c r="C18" s="15" t="n"/>
      <c r="D18" s="15" t="n"/>
      <c r="E18" s="15" t="n"/>
      <c r="F18" s="16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6" t="n"/>
      <c r="AD18" s="15" t="n"/>
      <c r="AE18" s="15" t="n"/>
      <c r="AF18" s="16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7">
        <f>IF(C18="","",COUNTA(AG18,AJ18,AM18,AP18))</f>
        <v/>
      </c>
      <c r="DA18" s="17">
        <f>IF(C18="","",COUNTA(BK18,BM18,BO18,BQ18,BS18,BU18,BW18,BY18))</f>
        <v/>
      </c>
      <c r="DB18" s="17">
        <f>IF(C18="","",COUNTIF(AT18:BJ18,"Yes"))</f>
        <v/>
      </c>
      <c r="DC18" s="17">
        <f>IF(C18="","",COUNTIF(CT18:CX18,"Yes"))</f>
        <v/>
      </c>
    </row>
    <row r="19">
      <c r="A19" s="15" t="n"/>
      <c r="B19" s="16" t="n"/>
      <c r="C19" s="15" t="n"/>
      <c r="D19" s="15" t="n"/>
      <c r="E19" s="15" t="n"/>
      <c r="F19" s="16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6" t="n"/>
      <c r="AD19" s="15" t="n"/>
      <c r="AE19" s="15" t="n"/>
      <c r="AF19" s="16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7">
        <f>IF(C19="","",COUNTA(AG19,AJ19,AM19,AP19))</f>
        <v/>
      </c>
      <c r="DA19" s="17">
        <f>IF(C19="","",COUNTA(BK19,BM19,BO19,BQ19,BS19,BU19,BW19,BY19))</f>
        <v/>
      </c>
      <c r="DB19" s="17">
        <f>IF(C19="","",COUNTIF(AT19:BJ19,"Yes"))</f>
        <v/>
      </c>
      <c r="DC19" s="17">
        <f>IF(C19="","",COUNTIF(CT19:CX19,"Yes"))</f>
        <v/>
      </c>
    </row>
    <row r="20">
      <c r="A20" s="15" t="n"/>
      <c r="B20" s="16" t="n"/>
      <c r="C20" s="15" t="n"/>
      <c r="D20" s="15" t="n"/>
      <c r="E20" s="15" t="n"/>
      <c r="F20" s="16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6" t="n"/>
      <c r="AD20" s="15" t="n"/>
      <c r="AE20" s="15" t="n"/>
      <c r="AF20" s="16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7">
        <f>IF(C20="","",COUNTA(AG20,AJ20,AM20,AP20))</f>
        <v/>
      </c>
      <c r="DA20" s="17">
        <f>IF(C20="","",COUNTA(BK20,BM20,BO20,BQ20,BS20,BU20,BW20,BY20))</f>
        <v/>
      </c>
      <c r="DB20" s="17">
        <f>IF(C20="","",COUNTIF(AT20:BJ20,"Yes"))</f>
        <v/>
      </c>
      <c r="DC20" s="17">
        <f>IF(C20="","",COUNTIF(CT20:CX20,"Yes"))</f>
        <v/>
      </c>
    </row>
    <row r="21">
      <c r="A21" s="15" t="n"/>
      <c r="B21" s="16" t="n"/>
      <c r="C21" s="15" t="n"/>
      <c r="D21" s="15" t="n"/>
      <c r="E21" s="15" t="n"/>
      <c r="F21" s="16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6" t="n"/>
      <c r="AD21" s="15" t="n"/>
      <c r="AE21" s="15" t="n"/>
      <c r="AF21" s="16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7">
        <f>IF(C21="","",COUNTA(AG21,AJ21,AM21,AP21))</f>
        <v/>
      </c>
      <c r="DA21" s="17">
        <f>IF(C21="","",COUNTA(BK21,BM21,BO21,BQ21,BS21,BU21,BW21,BY21))</f>
        <v/>
      </c>
      <c r="DB21" s="17">
        <f>IF(C21="","",COUNTIF(AT21:BJ21,"Yes"))</f>
        <v/>
      </c>
      <c r="DC21" s="17">
        <f>IF(C21="","",COUNTIF(CT21:CX21,"Yes"))</f>
        <v/>
      </c>
    </row>
    <row r="22">
      <c r="A22" s="15" t="n"/>
      <c r="B22" s="16" t="n"/>
      <c r="C22" s="15" t="n"/>
      <c r="D22" s="15" t="n"/>
      <c r="E22" s="15" t="n"/>
      <c r="F22" s="16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6" t="n"/>
      <c r="AD22" s="15" t="n"/>
      <c r="AE22" s="15" t="n"/>
      <c r="AF22" s="16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7">
        <f>IF(C22="","",COUNTA(AG22,AJ22,AM22,AP22))</f>
        <v/>
      </c>
      <c r="DA22" s="17">
        <f>IF(C22="","",COUNTA(BK22,BM22,BO22,BQ22,BS22,BU22,BW22,BY22))</f>
        <v/>
      </c>
      <c r="DB22" s="17">
        <f>IF(C22="","",COUNTIF(AT22:BJ22,"Yes"))</f>
        <v/>
      </c>
      <c r="DC22" s="17">
        <f>IF(C22="","",COUNTIF(CT22:CX22,"Yes"))</f>
        <v/>
      </c>
    </row>
    <row r="23">
      <c r="A23" s="15" t="n"/>
      <c r="B23" s="16" t="n"/>
      <c r="C23" s="15" t="n"/>
      <c r="D23" s="15" t="n"/>
      <c r="E23" s="15" t="n"/>
      <c r="F23" s="16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6" t="n"/>
      <c r="AD23" s="15" t="n"/>
      <c r="AE23" s="15" t="n"/>
      <c r="AF23" s="16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7">
        <f>IF(C23="","",COUNTA(AG23,AJ23,AM23,AP23))</f>
        <v/>
      </c>
      <c r="DA23" s="17">
        <f>IF(C23="","",COUNTA(BK23,BM23,BO23,BQ23,BS23,BU23,BW23,BY23))</f>
        <v/>
      </c>
      <c r="DB23" s="17">
        <f>IF(C23="","",COUNTIF(AT23:BJ23,"Yes"))</f>
        <v/>
      </c>
      <c r="DC23" s="17">
        <f>IF(C23="","",COUNTIF(CT23:CX23,"Yes"))</f>
        <v/>
      </c>
    </row>
    <row r="24">
      <c r="A24" s="15" t="n"/>
      <c r="B24" s="16" t="n"/>
      <c r="C24" s="15" t="n"/>
      <c r="D24" s="15" t="n"/>
      <c r="E24" s="15" t="n"/>
      <c r="F24" s="16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6" t="n"/>
      <c r="AD24" s="15" t="n"/>
      <c r="AE24" s="15" t="n"/>
      <c r="AF24" s="16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7">
        <f>IF(C24="","",COUNTA(AG24,AJ24,AM24,AP24))</f>
        <v/>
      </c>
      <c r="DA24" s="17">
        <f>IF(C24="","",COUNTA(BK24,BM24,BO24,BQ24,BS24,BU24,BW24,BY24))</f>
        <v/>
      </c>
      <c r="DB24" s="17">
        <f>IF(C24="","",COUNTIF(AT24:BJ24,"Yes"))</f>
        <v/>
      </c>
      <c r="DC24" s="17">
        <f>IF(C24="","",COUNTIF(CT24:CX24,"Yes"))</f>
        <v/>
      </c>
    </row>
    <row r="25">
      <c r="A25" s="15" t="n"/>
      <c r="B25" s="16" t="n"/>
      <c r="C25" s="15" t="n"/>
      <c r="D25" s="15" t="n"/>
      <c r="E25" s="15" t="n"/>
      <c r="F25" s="16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6" t="n"/>
      <c r="AD25" s="15" t="n"/>
      <c r="AE25" s="15" t="n"/>
      <c r="AF25" s="16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7">
        <f>IF(C25="","",COUNTA(AG25,AJ25,AM25,AP25))</f>
        <v/>
      </c>
      <c r="DA25" s="17">
        <f>IF(C25="","",COUNTA(BK25,BM25,BO25,BQ25,BS25,BU25,BW25,BY25))</f>
        <v/>
      </c>
      <c r="DB25" s="17">
        <f>IF(C25="","",COUNTIF(AT25:BJ25,"Yes"))</f>
        <v/>
      </c>
      <c r="DC25" s="17">
        <f>IF(C25="","",COUNTIF(CT25:CX25,"Yes"))</f>
        <v/>
      </c>
    </row>
    <row r="26">
      <c r="A26" s="15" t="n"/>
      <c r="B26" s="16" t="n"/>
      <c r="C26" s="15" t="n"/>
      <c r="D26" s="15" t="n"/>
      <c r="E26" s="15" t="n"/>
      <c r="F26" s="16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6" t="n"/>
      <c r="AD26" s="15" t="n"/>
      <c r="AE26" s="15" t="n"/>
      <c r="AF26" s="16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7">
        <f>IF(C26="","",COUNTA(AG26,AJ26,AM26,AP26))</f>
        <v/>
      </c>
      <c r="DA26" s="17">
        <f>IF(C26="","",COUNTA(BK26,BM26,BO26,BQ26,BS26,BU26,BW26,BY26))</f>
        <v/>
      </c>
      <c r="DB26" s="17">
        <f>IF(C26="","",COUNTIF(AT26:BJ26,"Yes"))</f>
        <v/>
      </c>
      <c r="DC26" s="17">
        <f>IF(C26="","",COUNTIF(CT26:CX26,"Yes"))</f>
        <v/>
      </c>
    </row>
    <row r="27">
      <c r="A27" s="15" t="n"/>
      <c r="B27" s="16" t="n"/>
      <c r="C27" s="15" t="n"/>
      <c r="D27" s="15" t="n"/>
      <c r="E27" s="15" t="n"/>
      <c r="F27" s="16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6" t="n"/>
      <c r="AD27" s="15" t="n"/>
      <c r="AE27" s="15" t="n"/>
      <c r="AF27" s="16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7">
        <f>IF(C27="","",COUNTA(AG27,AJ27,AM27,AP27))</f>
        <v/>
      </c>
      <c r="DA27" s="17">
        <f>IF(C27="","",COUNTA(BK27,BM27,BO27,BQ27,BS27,BU27,BW27,BY27))</f>
        <v/>
      </c>
      <c r="DB27" s="17">
        <f>IF(C27="","",COUNTIF(AT27:BJ27,"Yes"))</f>
        <v/>
      </c>
      <c r="DC27" s="17">
        <f>IF(C27="","",COUNTIF(CT27:CX27,"Yes"))</f>
        <v/>
      </c>
    </row>
    <row r="28">
      <c r="A28" s="15" t="n"/>
      <c r="B28" s="16" t="n"/>
      <c r="C28" s="15" t="n"/>
      <c r="D28" s="15" t="n"/>
      <c r="E28" s="15" t="n"/>
      <c r="F28" s="16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6" t="n"/>
      <c r="AD28" s="15" t="n"/>
      <c r="AE28" s="15" t="n"/>
      <c r="AF28" s="16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7">
        <f>IF(C28="","",COUNTA(AG28,AJ28,AM28,AP28))</f>
        <v/>
      </c>
      <c r="DA28" s="17">
        <f>IF(C28="","",COUNTA(BK28,BM28,BO28,BQ28,BS28,BU28,BW28,BY28))</f>
        <v/>
      </c>
      <c r="DB28" s="17">
        <f>IF(C28="","",COUNTIF(AT28:BJ28,"Yes"))</f>
        <v/>
      </c>
      <c r="DC28" s="17">
        <f>IF(C28="","",COUNTIF(CT28:CX28,"Yes"))</f>
        <v/>
      </c>
    </row>
    <row r="29">
      <c r="A29" s="15" t="n"/>
      <c r="B29" s="16" t="n"/>
      <c r="C29" s="15" t="n"/>
      <c r="D29" s="15" t="n"/>
      <c r="E29" s="15" t="n"/>
      <c r="F29" s="16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6" t="n"/>
      <c r="AD29" s="15" t="n"/>
      <c r="AE29" s="15" t="n"/>
      <c r="AF29" s="16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7">
        <f>IF(C29="","",COUNTA(AG29,AJ29,AM29,AP29))</f>
        <v/>
      </c>
      <c r="DA29" s="17">
        <f>IF(C29="","",COUNTA(BK29,BM29,BO29,BQ29,BS29,BU29,BW29,BY29))</f>
        <v/>
      </c>
      <c r="DB29" s="17">
        <f>IF(C29="","",COUNTIF(AT29:BJ29,"Yes"))</f>
        <v/>
      </c>
      <c r="DC29" s="17">
        <f>IF(C29="","",COUNTIF(CT29:CX29,"Yes"))</f>
        <v/>
      </c>
    </row>
    <row r="30">
      <c r="A30" s="15" t="n"/>
      <c r="B30" s="16" t="n"/>
      <c r="C30" s="15" t="n"/>
      <c r="D30" s="15" t="n"/>
      <c r="E30" s="15" t="n"/>
      <c r="F30" s="16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6" t="n"/>
      <c r="AD30" s="15" t="n"/>
      <c r="AE30" s="15" t="n"/>
      <c r="AF30" s="16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7">
        <f>IF(C30="","",COUNTA(AG30,AJ30,AM30,AP30))</f>
        <v/>
      </c>
      <c r="DA30" s="17">
        <f>IF(C30="","",COUNTA(BK30,BM30,BO30,BQ30,BS30,BU30,BW30,BY30))</f>
        <v/>
      </c>
      <c r="DB30" s="17">
        <f>IF(C30="","",COUNTIF(AT30:BJ30,"Yes"))</f>
        <v/>
      </c>
      <c r="DC30" s="17">
        <f>IF(C30="","",COUNTIF(CT30:CX30,"Yes"))</f>
        <v/>
      </c>
    </row>
    <row r="31">
      <c r="A31" s="15" t="n"/>
      <c r="B31" s="16" t="n"/>
      <c r="C31" s="15" t="n"/>
      <c r="D31" s="15" t="n"/>
      <c r="E31" s="15" t="n"/>
      <c r="F31" s="16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6" t="n"/>
      <c r="AD31" s="15" t="n"/>
      <c r="AE31" s="15" t="n"/>
      <c r="AF31" s="16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7">
        <f>IF(C31="","",COUNTA(AG31,AJ31,AM31,AP31))</f>
        <v/>
      </c>
      <c r="DA31" s="17">
        <f>IF(C31="","",COUNTA(BK31,BM31,BO31,BQ31,BS31,BU31,BW31,BY31))</f>
        <v/>
      </c>
      <c r="DB31" s="17">
        <f>IF(C31="","",COUNTIF(AT31:BJ31,"Yes"))</f>
        <v/>
      </c>
      <c r="DC31" s="17">
        <f>IF(C31="","",COUNTIF(CT31:CX31,"Yes"))</f>
        <v/>
      </c>
    </row>
    <row r="32">
      <c r="A32" s="15" t="n"/>
      <c r="B32" s="16" t="n"/>
      <c r="C32" s="15" t="n"/>
      <c r="D32" s="15" t="n"/>
      <c r="E32" s="15" t="n"/>
      <c r="F32" s="16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6" t="n"/>
      <c r="AD32" s="15" t="n"/>
      <c r="AE32" s="15" t="n"/>
      <c r="AF32" s="16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7">
        <f>IF(C32="","",COUNTA(AG32,AJ32,AM32,AP32))</f>
        <v/>
      </c>
      <c r="DA32" s="17">
        <f>IF(C32="","",COUNTA(BK32,BM32,BO32,BQ32,BS32,BU32,BW32,BY32))</f>
        <v/>
      </c>
      <c r="DB32" s="17">
        <f>IF(C32="","",COUNTIF(AT32:BJ32,"Yes"))</f>
        <v/>
      </c>
      <c r="DC32" s="17">
        <f>IF(C32="","",COUNTIF(CT32:CX32,"Yes"))</f>
        <v/>
      </c>
    </row>
    <row r="33">
      <c r="A33" s="15" t="n"/>
      <c r="B33" s="16" t="n"/>
      <c r="C33" s="15" t="n"/>
      <c r="D33" s="15" t="n"/>
      <c r="E33" s="15" t="n"/>
      <c r="F33" s="16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6" t="n"/>
      <c r="AD33" s="15" t="n"/>
      <c r="AE33" s="15" t="n"/>
      <c r="AF33" s="16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7">
        <f>IF(C33="","",COUNTA(AG33,AJ33,AM33,AP33))</f>
        <v/>
      </c>
      <c r="DA33" s="17">
        <f>IF(C33="","",COUNTA(BK33,BM33,BO33,BQ33,BS33,BU33,BW33,BY33))</f>
        <v/>
      </c>
      <c r="DB33" s="17">
        <f>IF(C33="","",COUNTIF(AT33:BJ33,"Yes"))</f>
        <v/>
      </c>
      <c r="DC33" s="17">
        <f>IF(C33="","",COUNTIF(CT33:CX33,"Yes"))</f>
        <v/>
      </c>
    </row>
    <row r="34">
      <c r="A34" s="15" t="n"/>
      <c r="B34" s="16" t="n"/>
      <c r="C34" s="15" t="n"/>
      <c r="D34" s="15" t="n"/>
      <c r="E34" s="15" t="n"/>
      <c r="F34" s="16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6" t="n"/>
      <c r="AD34" s="15" t="n"/>
      <c r="AE34" s="15" t="n"/>
      <c r="AF34" s="16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7">
        <f>IF(C34="","",COUNTA(AG34,AJ34,AM34,AP34))</f>
        <v/>
      </c>
      <c r="DA34" s="17">
        <f>IF(C34="","",COUNTA(BK34,BM34,BO34,BQ34,BS34,BU34,BW34,BY34))</f>
        <v/>
      </c>
      <c r="DB34" s="17">
        <f>IF(C34="","",COUNTIF(AT34:BJ34,"Yes"))</f>
        <v/>
      </c>
      <c r="DC34" s="17">
        <f>IF(C34="","",COUNTIF(CT34:CX34,"Yes"))</f>
        <v/>
      </c>
    </row>
    <row r="35">
      <c r="A35" s="15" t="n"/>
      <c r="B35" s="16" t="n"/>
      <c r="C35" s="15" t="n"/>
      <c r="D35" s="15" t="n"/>
      <c r="E35" s="15" t="n"/>
      <c r="F35" s="16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6" t="n"/>
      <c r="AD35" s="15" t="n"/>
      <c r="AE35" s="15" t="n"/>
      <c r="AF35" s="16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7">
        <f>IF(C35="","",COUNTA(AG35,AJ35,AM35,AP35))</f>
        <v/>
      </c>
      <c r="DA35" s="17">
        <f>IF(C35="","",COUNTA(BK35,BM35,BO35,BQ35,BS35,BU35,BW35,BY35))</f>
        <v/>
      </c>
      <c r="DB35" s="17">
        <f>IF(C35="","",COUNTIF(AT35:BJ35,"Yes"))</f>
        <v/>
      </c>
      <c r="DC35" s="17">
        <f>IF(C35="","",COUNTIF(CT35:CX35,"Yes"))</f>
        <v/>
      </c>
    </row>
    <row r="36">
      <c r="A36" s="15" t="n"/>
      <c r="B36" s="16" t="n"/>
      <c r="C36" s="15" t="n"/>
      <c r="D36" s="15" t="n"/>
      <c r="E36" s="15" t="n"/>
      <c r="F36" s="16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6" t="n"/>
      <c r="AD36" s="15" t="n"/>
      <c r="AE36" s="15" t="n"/>
      <c r="AF36" s="16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7">
        <f>IF(C36="","",COUNTA(AG36,AJ36,AM36,AP36))</f>
        <v/>
      </c>
      <c r="DA36" s="17">
        <f>IF(C36="","",COUNTA(BK36,BM36,BO36,BQ36,BS36,BU36,BW36,BY36))</f>
        <v/>
      </c>
      <c r="DB36" s="17">
        <f>IF(C36="","",COUNTIF(AT36:BJ36,"Yes"))</f>
        <v/>
      </c>
      <c r="DC36" s="17">
        <f>IF(C36="","",COUNTIF(CT36:CX36,"Yes"))</f>
        <v/>
      </c>
    </row>
    <row r="37">
      <c r="A37" s="15" t="n"/>
      <c r="B37" s="16" t="n"/>
      <c r="C37" s="15" t="n"/>
      <c r="D37" s="15" t="n"/>
      <c r="E37" s="15" t="n"/>
      <c r="F37" s="16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6" t="n"/>
      <c r="AD37" s="15" t="n"/>
      <c r="AE37" s="15" t="n"/>
      <c r="AF37" s="16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7">
        <f>IF(C37="","",COUNTA(AG37,AJ37,AM37,AP37))</f>
        <v/>
      </c>
      <c r="DA37" s="17">
        <f>IF(C37="","",COUNTA(BK37,BM37,BO37,BQ37,BS37,BU37,BW37,BY37))</f>
        <v/>
      </c>
      <c r="DB37" s="17">
        <f>IF(C37="","",COUNTIF(AT37:BJ37,"Yes"))</f>
        <v/>
      </c>
      <c r="DC37" s="17">
        <f>IF(C37="","",COUNTIF(CT37:CX37,"Yes"))</f>
        <v/>
      </c>
    </row>
    <row r="38">
      <c r="A38" s="15" t="n"/>
      <c r="B38" s="16" t="n"/>
      <c r="C38" s="15" t="n"/>
      <c r="D38" s="15" t="n"/>
      <c r="E38" s="15" t="n"/>
      <c r="F38" s="16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6" t="n"/>
      <c r="AD38" s="15" t="n"/>
      <c r="AE38" s="15" t="n"/>
      <c r="AF38" s="16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7">
        <f>IF(C38="","",COUNTA(AG38,AJ38,AM38,AP38))</f>
        <v/>
      </c>
      <c r="DA38" s="17">
        <f>IF(C38="","",COUNTA(BK38,BM38,BO38,BQ38,BS38,BU38,BW38,BY38))</f>
        <v/>
      </c>
      <c r="DB38" s="17">
        <f>IF(C38="","",COUNTIF(AT38:BJ38,"Yes"))</f>
        <v/>
      </c>
      <c r="DC38" s="17">
        <f>IF(C38="","",COUNTIF(CT38:CX38,"Yes"))</f>
        <v/>
      </c>
    </row>
    <row r="39">
      <c r="A39" s="15" t="n"/>
      <c r="B39" s="16" t="n"/>
      <c r="C39" s="15" t="n"/>
      <c r="D39" s="15" t="n"/>
      <c r="E39" s="15" t="n"/>
      <c r="F39" s="16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6" t="n"/>
      <c r="AD39" s="15" t="n"/>
      <c r="AE39" s="15" t="n"/>
      <c r="AF39" s="16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7">
        <f>IF(C39="","",COUNTA(AG39,AJ39,AM39,AP39))</f>
        <v/>
      </c>
      <c r="DA39" s="17">
        <f>IF(C39="","",COUNTA(BK39,BM39,BO39,BQ39,BS39,BU39,BW39,BY39))</f>
        <v/>
      </c>
      <c r="DB39" s="17">
        <f>IF(C39="","",COUNTIF(AT39:BJ39,"Yes"))</f>
        <v/>
      </c>
      <c r="DC39" s="17">
        <f>IF(C39="","",COUNTIF(CT39:CX39,"Yes"))</f>
        <v/>
      </c>
    </row>
    <row r="40">
      <c r="A40" s="15" t="n"/>
      <c r="B40" s="16" t="n"/>
      <c r="C40" s="15" t="n"/>
      <c r="D40" s="15" t="n"/>
      <c r="E40" s="15" t="n"/>
      <c r="F40" s="16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6" t="n"/>
      <c r="AD40" s="15" t="n"/>
      <c r="AE40" s="15" t="n"/>
      <c r="AF40" s="16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7">
        <f>IF(C40="","",COUNTA(AG40,AJ40,AM40,AP40))</f>
        <v/>
      </c>
      <c r="DA40" s="17">
        <f>IF(C40="","",COUNTA(BK40,BM40,BO40,BQ40,BS40,BU40,BW40,BY40))</f>
        <v/>
      </c>
      <c r="DB40" s="17">
        <f>IF(C40="","",COUNTIF(AT40:BJ40,"Yes"))</f>
        <v/>
      </c>
      <c r="DC40" s="17">
        <f>IF(C40="","",COUNTIF(CT40:CX40,"Yes"))</f>
        <v/>
      </c>
    </row>
    <row r="41">
      <c r="A41" s="15" t="n"/>
      <c r="B41" s="16" t="n"/>
      <c r="C41" s="15" t="n"/>
      <c r="D41" s="15" t="n"/>
      <c r="E41" s="15" t="n"/>
      <c r="F41" s="16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6" t="n"/>
      <c r="AD41" s="15" t="n"/>
      <c r="AE41" s="15" t="n"/>
      <c r="AF41" s="16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7">
        <f>IF(C41="","",COUNTA(AG41,AJ41,AM41,AP41))</f>
        <v/>
      </c>
      <c r="DA41" s="17">
        <f>IF(C41="","",COUNTA(BK41,BM41,BO41,BQ41,BS41,BU41,BW41,BY41))</f>
        <v/>
      </c>
      <c r="DB41" s="17">
        <f>IF(C41="","",COUNTIF(AT41:BJ41,"Yes"))</f>
        <v/>
      </c>
      <c r="DC41" s="17">
        <f>IF(C41="","",COUNTIF(CT41:CX41,"Yes"))</f>
        <v/>
      </c>
    </row>
    <row r="42">
      <c r="A42" s="15" t="n"/>
      <c r="B42" s="16" t="n"/>
      <c r="C42" s="15" t="n"/>
      <c r="D42" s="15" t="n"/>
      <c r="E42" s="15" t="n"/>
      <c r="F42" s="16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6" t="n"/>
      <c r="AD42" s="15" t="n"/>
      <c r="AE42" s="15" t="n"/>
      <c r="AF42" s="16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7">
        <f>IF(C42="","",COUNTA(AG42,AJ42,AM42,AP42))</f>
        <v/>
      </c>
      <c r="DA42" s="17">
        <f>IF(C42="","",COUNTA(BK42,BM42,BO42,BQ42,BS42,BU42,BW42,BY42))</f>
        <v/>
      </c>
      <c r="DB42" s="17">
        <f>IF(C42="","",COUNTIF(AT42:BJ42,"Yes"))</f>
        <v/>
      </c>
      <c r="DC42" s="17">
        <f>IF(C42="","",COUNTIF(CT42:CX42,"Yes"))</f>
        <v/>
      </c>
    </row>
    <row r="43">
      <c r="A43" s="15" t="n"/>
      <c r="B43" s="16" t="n"/>
      <c r="C43" s="15" t="n"/>
      <c r="D43" s="15" t="n"/>
      <c r="E43" s="15" t="n"/>
      <c r="F43" s="16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6" t="n"/>
      <c r="AD43" s="15" t="n"/>
      <c r="AE43" s="15" t="n"/>
      <c r="AF43" s="16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7">
        <f>IF(C43="","",COUNTA(AG43,AJ43,AM43,AP43))</f>
        <v/>
      </c>
      <c r="DA43" s="17">
        <f>IF(C43="","",COUNTA(BK43,BM43,BO43,BQ43,BS43,BU43,BW43,BY43))</f>
        <v/>
      </c>
      <c r="DB43" s="17">
        <f>IF(C43="","",COUNTIF(AT43:BJ43,"Yes"))</f>
        <v/>
      </c>
      <c r="DC43" s="17">
        <f>IF(C43="","",COUNTIF(CT43:CX43,"Yes"))</f>
        <v/>
      </c>
    </row>
    <row r="44">
      <c r="A44" s="15" t="n"/>
      <c r="B44" s="16" t="n"/>
      <c r="C44" s="15" t="n"/>
      <c r="D44" s="15" t="n"/>
      <c r="E44" s="15" t="n"/>
      <c r="F44" s="16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6" t="n"/>
      <c r="AD44" s="15" t="n"/>
      <c r="AE44" s="15" t="n"/>
      <c r="AF44" s="16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7">
        <f>IF(C44="","",COUNTA(AG44,AJ44,AM44,AP44))</f>
        <v/>
      </c>
      <c r="DA44" s="17">
        <f>IF(C44="","",COUNTA(BK44,BM44,BO44,BQ44,BS44,BU44,BW44,BY44))</f>
        <v/>
      </c>
      <c r="DB44" s="17">
        <f>IF(C44="","",COUNTIF(AT44:BJ44,"Yes"))</f>
        <v/>
      </c>
      <c r="DC44" s="17">
        <f>IF(C44="","",COUNTIF(CT44:CX44,"Yes"))</f>
        <v/>
      </c>
    </row>
    <row r="45">
      <c r="A45" s="15" t="n"/>
      <c r="B45" s="16" t="n"/>
      <c r="C45" s="15" t="n"/>
      <c r="D45" s="15" t="n"/>
      <c r="E45" s="15" t="n"/>
      <c r="F45" s="16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6" t="n"/>
      <c r="AD45" s="15" t="n"/>
      <c r="AE45" s="15" t="n"/>
      <c r="AF45" s="16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7">
        <f>IF(C45="","",COUNTA(AG45,AJ45,AM45,AP45))</f>
        <v/>
      </c>
      <c r="DA45" s="17">
        <f>IF(C45="","",COUNTA(BK45,BM45,BO45,BQ45,BS45,BU45,BW45,BY45))</f>
        <v/>
      </c>
      <c r="DB45" s="17">
        <f>IF(C45="","",COUNTIF(AT45:BJ45,"Yes"))</f>
        <v/>
      </c>
      <c r="DC45" s="17">
        <f>IF(C45="","",COUNTIF(CT45:CX45,"Yes"))</f>
        <v/>
      </c>
    </row>
    <row r="46">
      <c r="A46" s="15" t="n"/>
      <c r="B46" s="16" t="n"/>
      <c r="C46" s="15" t="n"/>
      <c r="D46" s="15" t="n"/>
      <c r="E46" s="15" t="n"/>
      <c r="F46" s="16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6" t="n"/>
      <c r="AD46" s="15" t="n"/>
      <c r="AE46" s="15" t="n"/>
      <c r="AF46" s="16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5" t="n"/>
      <c r="CV46" s="15" t="n"/>
      <c r="CW46" s="15" t="n"/>
      <c r="CX46" s="15" t="n"/>
      <c r="CY46" s="15" t="n"/>
      <c r="CZ46" s="17">
        <f>IF(C46="","",COUNTA(AG46,AJ46,AM46,AP46))</f>
        <v/>
      </c>
      <c r="DA46" s="17">
        <f>IF(C46="","",COUNTA(BK46,BM46,BO46,BQ46,BS46,BU46,BW46,BY46))</f>
        <v/>
      </c>
      <c r="DB46" s="17">
        <f>IF(C46="","",COUNTIF(AT46:BJ46,"Yes"))</f>
        <v/>
      </c>
      <c r="DC46" s="17">
        <f>IF(C46="","",COUNTIF(CT46:CX46,"Yes"))</f>
        <v/>
      </c>
    </row>
    <row r="47">
      <c r="A47" s="15" t="n"/>
      <c r="B47" s="16" t="n"/>
      <c r="C47" s="15" t="n"/>
      <c r="D47" s="15" t="n"/>
      <c r="E47" s="15" t="n"/>
      <c r="F47" s="16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6" t="n"/>
      <c r="AD47" s="15" t="n"/>
      <c r="AE47" s="15" t="n"/>
      <c r="AF47" s="16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5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5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5" t="n"/>
      <c r="CV47" s="15" t="n"/>
      <c r="CW47" s="15" t="n"/>
      <c r="CX47" s="15" t="n"/>
      <c r="CY47" s="15" t="n"/>
      <c r="CZ47" s="17">
        <f>IF(C47="","",COUNTA(AG47,AJ47,AM47,AP47))</f>
        <v/>
      </c>
      <c r="DA47" s="17">
        <f>IF(C47="","",COUNTA(BK47,BM47,BO47,BQ47,BS47,BU47,BW47,BY47))</f>
        <v/>
      </c>
      <c r="DB47" s="17">
        <f>IF(C47="","",COUNTIF(AT47:BJ47,"Yes"))</f>
        <v/>
      </c>
      <c r="DC47" s="17">
        <f>IF(C47="","",COUNTIF(CT47:CX47,"Yes"))</f>
        <v/>
      </c>
    </row>
    <row r="48">
      <c r="A48" s="15" t="n"/>
      <c r="B48" s="16" t="n"/>
      <c r="C48" s="15" t="n"/>
      <c r="D48" s="15" t="n"/>
      <c r="E48" s="15" t="n"/>
      <c r="F48" s="16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6" t="n"/>
      <c r="AD48" s="15" t="n"/>
      <c r="AE48" s="15" t="n"/>
      <c r="AF48" s="16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5" t="n"/>
      <c r="CV48" s="15" t="n"/>
      <c r="CW48" s="15" t="n"/>
      <c r="CX48" s="15" t="n"/>
      <c r="CY48" s="15" t="n"/>
      <c r="CZ48" s="17">
        <f>IF(C48="","",COUNTA(AG48,AJ48,AM48,AP48))</f>
        <v/>
      </c>
      <c r="DA48" s="17">
        <f>IF(C48="","",COUNTA(BK48,BM48,BO48,BQ48,BS48,BU48,BW48,BY48))</f>
        <v/>
      </c>
      <c r="DB48" s="17">
        <f>IF(C48="","",COUNTIF(AT48:BJ48,"Yes"))</f>
        <v/>
      </c>
      <c r="DC48" s="17">
        <f>IF(C48="","",COUNTIF(CT48:CX48,"Yes"))</f>
        <v/>
      </c>
    </row>
    <row r="49">
      <c r="A49" s="15" t="n"/>
      <c r="B49" s="16" t="n"/>
      <c r="C49" s="15" t="n"/>
      <c r="D49" s="15" t="n"/>
      <c r="E49" s="15" t="n"/>
      <c r="F49" s="16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6" t="n"/>
      <c r="AD49" s="15" t="n"/>
      <c r="AE49" s="15" t="n"/>
      <c r="AF49" s="16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5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5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5" t="n"/>
      <c r="CV49" s="15" t="n"/>
      <c r="CW49" s="15" t="n"/>
      <c r="CX49" s="15" t="n"/>
      <c r="CY49" s="15" t="n"/>
      <c r="CZ49" s="17">
        <f>IF(C49="","",COUNTA(AG49,AJ49,AM49,AP49))</f>
        <v/>
      </c>
      <c r="DA49" s="17">
        <f>IF(C49="","",COUNTA(BK49,BM49,BO49,BQ49,BS49,BU49,BW49,BY49))</f>
        <v/>
      </c>
      <c r="DB49" s="17">
        <f>IF(C49="","",COUNTIF(AT49:BJ49,"Yes"))</f>
        <v/>
      </c>
      <c r="DC49" s="17">
        <f>IF(C49="","",COUNTIF(CT49:CX49,"Yes"))</f>
        <v/>
      </c>
    </row>
    <row r="50">
      <c r="A50" s="15" t="n"/>
      <c r="B50" s="16" t="n"/>
      <c r="C50" s="15" t="n"/>
      <c r="D50" s="15" t="n"/>
      <c r="E50" s="15" t="n"/>
      <c r="F50" s="16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6" t="n"/>
      <c r="AD50" s="15" t="n"/>
      <c r="AE50" s="15" t="n"/>
      <c r="AF50" s="16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7">
        <f>IF(C50="","",COUNTA(AG50,AJ50,AM50,AP50))</f>
        <v/>
      </c>
      <c r="DA50" s="17">
        <f>IF(C50="","",COUNTA(BK50,BM50,BO50,BQ50,BS50,BU50,BW50,BY50))</f>
        <v/>
      </c>
      <c r="DB50" s="17">
        <f>IF(C50="","",COUNTIF(AT50:BJ50,"Yes"))</f>
        <v/>
      </c>
      <c r="DC50" s="17">
        <f>IF(C50="","",COUNTIF(CT50:CX50,"Yes"))</f>
        <v/>
      </c>
    </row>
    <row r="51">
      <c r="A51" s="15" t="n"/>
      <c r="B51" s="16" t="n"/>
      <c r="C51" s="15" t="n"/>
      <c r="D51" s="15" t="n"/>
      <c r="E51" s="15" t="n"/>
      <c r="F51" s="16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6" t="n"/>
      <c r="AD51" s="15" t="n"/>
      <c r="AE51" s="15" t="n"/>
      <c r="AF51" s="16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7">
        <f>IF(C51="","",COUNTA(AG51,AJ51,AM51,AP51))</f>
        <v/>
      </c>
      <c r="DA51" s="17">
        <f>IF(C51="","",COUNTA(BK51,BM51,BO51,BQ51,BS51,BU51,BW51,BY51))</f>
        <v/>
      </c>
      <c r="DB51" s="17">
        <f>IF(C51="","",COUNTIF(AT51:BJ51,"Yes"))</f>
        <v/>
      </c>
      <c r="DC51" s="17">
        <f>IF(C51="","",COUNTIF(CT51:CX51,"Yes"))</f>
        <v/>
      </c>
    </row>
    <row r="52">
      <c r="A52" s="15" t="n"/>
      <c r="B52" s="16" t="n"/>
      <c r="C52" s="15" t="n"/>
      <c r="D52" s="15" t="n"/>
      <c r="E52" s="15" t="n"/>
      <c r="F52" s="16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6" t="n"/>
      <c r="AD52" s="15" t="n"/>
      <c r="AE52" s="15" t="n"/>
      <c r="AF52" s="16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7">
        <f>IF(C52="","",COUNTA(AG52,AJ52,AM52,AP52))</f>
        <v/>
      </c>
      <c r="DA52" s="17">
        <f>IF(C52="","",COUNTA(BK52,BM52,BO52,BQ52,BS52,BU52,BW52,BY52))</f>
        <v/>
      </c>
      <c r="DB52" s="17">
        <f>IF(C52="","",COUNTIF(AT52:BJ52,"Yes"))</f>
        <v/>
      </c>
      <c r="DC52" s="17">
        <f>IF(C52="","",COUNTIF(CT52:CX52,"Yes"))</f>
        <v/>
      </c>
    </row>
    <row r="53">
      <c r="A53" s="15" t="n"/>
      <c r="B53" s="16" t="n"/>
      <c r="C53" s="15" t="n"/>
      <c r="D53" s="15" t="n"/>
      <c r="E53" s="15" t="n"/>
      <c r="F53" s="16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6" t="n"/>
      <c r="AD53" s="15" t="n"/>
      <c r="AE53" s="15" t="n"/>
      <c r="AF53" s="16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7">
        <f>IF(C53="","",COUNTA(AG53,AJ53,AM53,AP53))</f>
        <v/>
      </c>
      <c r="DA53" s="17">
        <f>IF(C53="","",COUNTA(BK53,BM53,BO53,BQ53,BS53,BU53,BW53,BY53))</f>
        <v/>
      </c>
      <c r="DB53" s="17">
        <f>IF(C53="","",COUNTIF(AT53:BJ53,"Yes"))</f>
        <v/>
      </c>
      <c r="DC53" s="17">
        <f>IF(C53="","",COUNTIF(CT53:CX53,"Yes"))</f>
        <v/>
      </c>
    </row>
    <row r="54">
      <c r="A54" s="15" t="n"/>
      <c r="B54" s="16" t="n"/>
      <c r="C54" s="15" t="n"/>
      <c r="D54" s="15" t="n"/>
      <c r="E54" s="15" t="n"/>
      <c r="F54" s="16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6" t="n"/>
      <c r="AD54" s="15" t="n"/>
      <c r="AE54" s="15" t="n"/>
      <c r="AF54" s="16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7">
        <f>IF(C54="","",COUNTA(AG54,AJ54,AM54,AP54))</f>
        <v/>
      </c>
      <c r="DA54" s="17">
        <f>IF(C54="","",COUNTA(BK54,BM54,BO54,BQ54,BS54,BU54,BW54,BY54))</f>
        <v/>
      </c>
      <c r="DB54" s="17">
        <f>IF(C54="","",COUNTIF(AT54:BJ54,"Yes"))</f>
        <v/>
      </c>
      <c r="DC54" s="17">
        <f>IF(C54="","",COUNTIF(CT54:CX54,"Yes"))</f>
        <v/>
      </c>
    </row>
    <row r="55">
      <c r="A55" s="15" t="n"/>
      <c r="B55" s="16" t="n"/>
      <c r="C55" s="15" t="n"/>
      <c r="D55" s="15" t="n"/>
      <c r="E55" s="15" t="n"/>
      <c r="F55" s="16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6" t="n"/>
      <c r="AD55" s="15" t="n"/>
      <c r="AE55" s="15" t="n"/>
      <c r="AF55" s="16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  <c r="AY55" s="15" t="n"/>
      <c r="AZ55" s="15" t="n"/>
      <c r="BA55" s="15" t="n"/>
      <c r="BB55" s="15" t="n"/>
      <c r="BC55" s="15" t="n"/>
      <c r="BD55" s="15" t="n"/>
      <c r="BE55" s="15" t="n"/>
      <c r="BF55" s="15" t="n"/>
      <c r="BG55" s="15" t="n"/>
      <c r="BH55" s="15" t="n"/>
      <c r="BI55" s="15" t="n"/>
      <c r="BJ55" s="15" t="n"/>
      <c r="BK55" s="15" t="n"/>
      <c r="BL55" s="15" t="n"/>
      <c r="BM55" s="15" t="n"/>
      <c r="BN55" s="15" t="n"/>
      <c r="BO55" s="15" t="n"/>
      <c r="BP55" s="15" t="n"/>
      <c r="BQ55" s="15" t="n"/>
      <c r="BR55" s="15" t="n"/>
      <c r="BS55" s="15" t="n"/>
      <c r="BT55" s="15" t="n"/>
      <c r="BU55" s="15" t="n"/>
      <c r="BV55" s="15" t="n"/>
      <c r="BW55" s="15" t="n"/>
      <c r="BX55" s="15" t="n"/>
      <c r="BY55" s="15" t="n"/>
      <c r="BZ55" s="15" t="n"/>
      <c r="CA55" s="15" t="n"/>
      <c r="CB55" s="15" t="n"/>
      <c r="CC55" s="15" t="n"/>
      <c r="CD55" s="15" t="n"/>
      <c r="CE55" s="15" t="n"/>
      <c r="CF55" s="15" t="n"/>
      <c r="CG55" s="15" t="n"/>
      <c r="CH55" s="15" t="n"/>
      <c r="CI55" s="15" t="n"/>
      <c r="CJ55" s="15" t="n"/>
      <c r="CK55" s="15" t="n"/>
      <c r="CL55" s="15" t="n"/>
      <c r="CM55" s="15" t="n"/>
      <c r="CN55" s="15" t="n"/>
      <c r="CO55" s="15" t="n"/>
      <c r="CP55" s="15" t="n"/>
      <c r="CQ55" s="15" t="n"/>
      <c r="CR55" s="15" t="n"/>
      <c r="CS55" s="15" t="n"/>
      <c r="CT55" s="15" t="n"/>
      <c r="CU55" s="15" t="n"/>
      <c r="CV55" s="15" t="n"/>
      <c r="CW55" s="15" t="n"/>
      <c r="CX55" s="15" t="n"/>
      <c r="CY55" s="15" t="n"/>
      <c r="CZ55" s="17">
        <f>IF(C55="","",COUNTA(AG55,AJ55,AM55,AP55))</f>
        <v/>
      </c>
      <c r="DA55" s="17">
        <f>IF(C55="","",COUNTA(BK55,BM55,BO55,BQ55,BS55,BU55,BW55,BY55))</f>
        <v/>
      </c>
      <c r="DB55" s="17">
        <f>IF(C55="","",COUNTIF(AT55:BJ55,"Yes"))</f>
        <v/>
      </c>
      <c r="DC55" s="17">
        <f>IF(C55="","",COUNTIF(CT55:CX55,"Yes"))</f>
        <v/>
      </c>
    </row>
    <row r="56">
      <c r="A56" s="15" t="n"/>
      <c r="B56" s="16" t="n"/>
      <c r="C56" s="15" t="n"/>
      <c r="D56" s="15" t="n"/>
      <c r="E56" s="15" t="n"/>
      <c r="F56" s="16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6" t="n"/>
      <c r="AD56" s="15" t="n"/>
      <c r="AE56" s="15" t="n"/>
      <c r="AF56" s="16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  <c r="AY56" s="15" t="n"/>
      <c r="AZ56" s="15" t="n"/>
      <c r="BA56" s="15" t="n"/>
      <c r="BB56" s="15" t="n"/>
      <c r="BC56" s="15" t="n"/>
      <c r="BD56" s="15" t="n"/>
      <c r="BE56" s="15" t="n"/>
      <c r="BF56" s="15" t="n"/>
      <c r="BG56" s="15" t="n"/>
      <c r="BH56" s="15" t="n"/>
      <c r="BI56" s="15" t="n"/>
      <c r="BJ56" s="15" t="n"/>
      <c r="BK56" s="15" t="n"/>
      <c r="BL56" s="15" t="n"/>
      <c r="BM56" s="15" t="n"/>
      <c r="BN56" s="15" t="n"/>
      <c r="BO56" s="15" t="n"/>
      <c r="BP56" s="15" t="n"/>
      <c r="BQ56" s="15" t="n"/>
      <c r="BR56" s="15" t="n"/>
      <c r="BS56" s="15" t="n"/>
      <c r="BT56" s="15" t="n"/>
      <c r="BU56" s="15" t="n"/>
      <c r="BV56" s="15" t="n"/>
      <c r="BW56" s="15" t="n"/>
      <c r="BX56" s="15" t="n"/>
      <c r="BY56" s="15" t="n"/>
      <c r="BZ56" s="15" t="n"/>
      <c r="CA56" s="15" t="n"/>
      <c r="CB56" s="15" t="n"/>
      <c r="CC56" s="15" t="n"/>
      <c r="CD56" s="15" t="n"/>
      <c r="CE56" s="15" t="n"/>
      <c r="CF56" s="15" t="n"/>
      <c r="CG56" s="15" t="n"/>
      <c r="CH56" s="15" t="n"/>
      <c r="CI56" s="15" t="n"/>
      <c r="CJ56" s="15" t="n"/>
      <c r="CK56" s="15" t="n"/>
      <c r="CL56" s="15" t="n"/>
      <c r="CM56" s="15" t="n"/>
      <c r="CN56" s="15" t="n"/>
      <c r="CO56" s="15" t="n"/>
      <c r="CP56" s="15" t="n"/>
      <c r="CQ56" s="15" t="n"/>
      <c r="CR56" s="15" t="n"/>
      <c r="CS56" s="15" t="n"/>
      <c r="CT56" s="15" t="n"/>
      <c r="CU56" s="15" t="n"/>
      <c r="CV56" s="15" t="n"/>
      <c r="CW56" s="15" t="n"/>
      <c r="CX56" s="15" t="n"/>
      <c r="CY56" s="15" t="n"/>
      <c r="CZ56" s="17">
        <f>IF(C56="","",COUNTA(AG56,AJ56,AM56,AP56))</f>
        <v/>
      </c>
      <c r="DA56" s="17">
        <f>IF(C56="","",COUNTA(BK56,BM56,BO56,BQ56,BS56,BU56,BW56,BY56))</f>
        <v/>
      </c>
      <c r="DB56" s="17">
        <f>IF(C56="","",COUNTIF(AT56:BJ56,"Yes"))</f>
        <v/>
      </c>
      <c r="DC56" s="17">
        <f>IF(C56="","",COUNTIF(CT56:CX56,"Yes"))</f>
        <v/>
      </c>
    </row>
    <row r="57">
      <c r="A57" s="15" t="n"/>
      <c r="B57" s="16" t="n"/>
      <c r="C57" s="15" t="n"/>
      <c r="D57" s="15" t="n"/>
      <c r="E57" s="15" t="n"/>
      <c r="F57" s="16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6" t="n"/>
      <c r="AD57" s="15" t="n"/>
      <c r="AE57" s="15" t="n"/>
      <c r="AF57" s="16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  <c r="AY57" s="15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  <c r="BK57" s="15" t="n"/>
      <c r="BL57" s="15" t="n"/>
      <c r="BM57" s="15" t="n"/>
      <c r="BN57" s="15" t="n"/>
      <c r="BO57" s="15" t="n"/>
      <c r="BP57" s="15" t="n"/>
      <c r="BQ57" s="15" t="n"/>
      <c r="BR57" s="15" t="n"/>
      <c r="BS57" s="15" t="n"/>
      <c r="BT57" s="15" t="n"/>
      <c r="BU57" s="15" t="n"/>
      <c r="BV57" s="15" t="n"/>
      <c r="BW57" s="15" t="n"/>
      <c r="BX57" s="15" t="n"/>
      <c r="BY57" s="15" t="n"/>
      <c r="BZ57" s="15" t="n"/>
      <c r="CA57" s="15" t="n"/>
      <c r="CB57" s="15" t="n"/>
      <c r="CC57" s="15" t="n"/>
      <c r="CD57" s="15" t="n"/>
      <c r="CE57" s="15" t="n"/>
      <c r="CF57" s="15" t="n"/>
      <c r="CG57" s="15" t="n"/>
      <c r="CH57" s="15" t="n"/>
      <c r="CI57" s="15" t="n"/>
      <c r="CJ57" s="15" t="n"/>
      <c r="CK57" s="15" t="n"/>
      <c r="CL57" s="15" t="n"/>
      <c r="CM57" s="15" t="n"/>
      <c r="CN57" s="15" t="n"/>
      <c r="CO57" s="15" t="n"/>
      <c r="CP57" s="15" t="n"/>
      <c r="CQ57" s="15" t="n"/>
      <c r="CR57" s="15" t="n"/>
      <c r="CS57" s="15" t="n"/>
      <c r="CT57" s="15" t="n"/>
      <c r="CU57" s="15" t="n"/>
      <c r="CV57" s="15" t="n"/>
      <c r="CW57" s="15" t="n"/>
      <c r="CX57" s="15" t="n"/>
      <c r="CY57" s="15" t="n"/>
      <c r="CZ57" s="17">
        <f>IF(C57="","",COUNTA(AG57,AJ57,AM57,AP57))</f>
        <v/>
      </c>
      <c r="DA57" s="17">
        <f>IF(C57="","",COUNTA(BK57,BM57,BO57,BQ57,BS57,BU57,BW57,BY57))</f>
        <v/>
      </c>
      <c r="DB57" s="17">
        <f>IF(C57="","",COUNTIF(AT57:BJ57,"Yes"))</f>
        <v/>
      </c>
      <c r="DC57" s="17">
        <f>IF(C57="","",COUNTIF(CT57:CX57,"Yes"))</f>
        <v/>
      </c>
    </row>
    <row r="58">
      <c r="A58" s="15" t="n"/>
      <c r="B58" s="16" t="n"/>
      <c r="C58" s="15" t="n"/>
      <c r="D58" s="15" t="n"/>
      <c r="E58" s="15" t="n"/>
      <c r="F58" s="16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6" t="n"/>
      <c r="AD58" s="15" t="n"/>
      <c r="AE58" s="15" t="n"/>
      <c r="AF58" s="16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  <c r="BG58" s="15" t="n"/>
      <c r="BH58" s="15" t="n"/>
      <c r="BI58" s="15" t="n"/>
      <c r="BJ58" s="15" t="n"/>
      <c r="BK58" s="15" t="n"/>
      <c r="BL58" s="15" t="n"/>
      <c r="BM58" s="15" t="n"/>
      <c r="BN58" s="15" t="n"/>
      <c r="BO58" s="15" t="n"/>
      <c r="BP58" s="15" t="n"/>
      <c r="BQ58" s="15" t="n"/>
      <c r="BR58" s="15" t="n"/>
      <c r="BS58" s="15" t="n"/>
      <c r="BT58" s="15" t="n"/>
      <c r="BU58" s="15" t="n"/>
      <c r="BV58" s="15" t="n"/>
      <c r="BW58" s="15" t="n"/>
      <c r="BX58" s="15" t="n"/>
      <c r="BY58" s="15" t="n"/>
      <c r="BZ58" s="15" t="n"/>
      <c r="CA58" s="15" t="n"/>
      <c r="CB58" s="15" t="n"/>
      <c r="CC58" s="15" t="n"/>
      <c r="CD58" s="15" t="n"/>
      <c r="CE58" s="15" t="n"/>
      <c r="CF58" s="15" t="n"/>
      <c r="CG58" s="15" t="n"/>
      <c r="CH58" s="15" t="n"/>
      <c r="CI58" s="15" t="n"/>
      <c r="CJ58" s="15" t="n"/>
      <c r="CK58" s="15" t="n"/>
      <c r="CL58" s="15" t="n"/>
      <c r="CM58" s="15" t="n"/>
      <c r="CN58" s="15" t="n"/>
      <c r="CO58" s="15" t="n"/>
      <c r="CP58" s="15" t="n"/>
      <c r="CQ58" s="15" t="n"/>
      <c r="CR58" s="15" t="n"/>
      <c r="CS58" s="15" t="n"/>
      <c r="CT58" s="15" t="n"/>
      <c r="CU58" s="15" t="n"/>
      <c r="CV58" s="15" t="n"/>
      <c r="CW58" s="15" t="n"/>
      <c r="CX58" s="15" t="n"/>
      <c r="CY58" s="15" t="n"/>
      <c r="CZ58" s="17">
        <f>IF(C58="","",COUNTA(AG58,AJ58,AM58,AP58))</f>
        <v/>
      </c>
      <c r="DA58" s="17">
        <f>IF(C58="","",COUNTA(BK58,BM58,BO58,BQ58,BS58,BU58,BW58,BY58))</f>
        <v/>
      </c>
      <c r="DB58" s="17">
        <f>IF(C58="","",COUNTIF(AT58:BJ58,"Yes"))</f>
        <v/>
      </c>
      <c r="DC58" s="17">
        <f>IF(C58="","",COUNTIF(CT58:CX58,"Yes"))</f>
        <v/>
      </c>
    </row>
    <row r="59">
      <c r="A59" s="15" t="n"/>
      <c r="B59" s="16" t="n"/>
      <c r="C59" s="15" t="n"/>
      <c r="D59" s="15" t="n"/>
      <c r="E59" s="15" t="n"/>
      <c r="F59" s="16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6" t="n"/>
      <c r="AD59" s="15" t="n"/>
      <c r="AE59" s="15" t="n"/>
      <c r="AF59" s="16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  <c r="AY59" s="15" t="n"/>
      <c r="AZ59" s="15" t="n"/>
      <c r="BA59" s="15" t="n"/>
      <c r="BB59" s="15" t="n"/>
      <c r="BC59" s="15" t="n"/>
      <c r="BD59" s="15" t="n"/>
      <c r="BE59" s="15" t="n"/>
      <c r="BF59" s="15" t="n"/>
      <c r="BG59" s="15" t="n"/>
      <c r="BH59" s="15" t="n"/>
      <c r="BI59" s="15" t="n"/>
      <c r="BJ59" s="15" t="n"/>
      <c r="BK59" s="15" t="n"/>
      <c r="BL59" s="15" t="n"/>
      <c r="BM59" s="15" t="n"/>
      <c r="BN59" s="15" t="n"/>
      <c r="BO59" s="15" t="n"/>
      <c r="BP59" s="15" t="n"/>
      <c r="BQ59" s="15" t="n"/>
      <c r="BR59" s="15" t="n"/>
      <c r="BS59" s="15" t="n"/>
      <c r="BT59" s="15" t="n"/>
      <c r="BU59" s="15" t="n"/>
      <c r="BV59" s="15" t="n"/>
      <c r="BW59" s="15" t="n"/>
      <c r="BX59" s="15" t="n"/>
      <c r="BY59" s="15" t="n"/>
      <c r="BZ59" s="15" t="n"/>
      <c r="CA59" s="15" t="n"/>
      <c r="CB59" s="15" t="n"/>
      <c r="CC59" s="15" t="n"/>
      <c r="CD59" s="15" t="n"/>
      <c r="CE59" s="15" t="n"/>
      <c r="CF59" s="15" t="n"/>
      <c r="CG59" s="15" t="n"/>
      <c r="CH59" s="15" t="n"/>
      <c r="CI59" s="15" t="n"/>
      <c r="CJ59" s="15" t="n"/>
      <c r="CK59" s="15" t="n"/>
      <c r="CL59" s="15" t="n"/>
      <c r="CM59" s="15" t="n"/>
      <c r="CN59" s="15" t="n"/>
      <c r="CO59" s="15" t="n"/>
      <c r="CP59" s="15" t="n"/>
      <c r="CQ59" s="15" t="n"/>
      <c r="CR59" s="15" t="n"/>
      <c r="CS59" s="15" t="n"/>
      <c r="CT59" s="15" t="n"/>
      <c r="CU59" s="15" t="n"/>
      <c r="CV59" s="15" t="n"/>
      <c r="CW59" s="15" t="n"/>
      <c r="CX59" s="15" t="n"/>
      <c r="CY59" s="15" t="n"/>
      <c r="CZ59" s="17">
        <f>IF(C59="","",COUNTA(AG59,AJ59,AM59,AP59))</f>
        <v/>
      </c>
      <c r="DA59" s="17">
        <f>IF(C59="","",COUNTA(BK59,BM59,BO59,BQ59,BS59,BU59,BW59,BY59))</f>
        <v/>
      </c>
      <c r="DB59" s="17">
        <f>IF(C59="","",COUNTIF(AT59:BJ59,"Yes"))</f>
        <v/>
      </c>
      <c r="DC59" s="17">
        <f>IF(C59="","",COUNTIF(CT59:CX59,"Yes"))</f>
        <v/>
      </c>
    </row>
    <row r="60">
      <c r="A60" s="15" t="n"/>
      <c r="B60" s="16" t="n"/>
      <c r="C60" s="15" t="n"/>
      <c r="D60" s="15" t="n"/>
      <c r="E60" s="15" t="n"/>
      <c r="F60" s="16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6" t="n"/>
      <c r="AD60" s="15" t="n"/>
      <c r="AE60" s="15" t="n"/>
      <c r="AF60" s="16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  <c r="BA60" s="15" t="n"/>
      <c r="BB60" s="15" t="n"/>
      <c r="BC60" s="15" t="n"/>
      <c r="BD60" s="15" t="n"/>
      <c r="BE60" s="15" t="n"/>
      <c r="BF60" s="15" t="n"/>
      <c r="BG60" s="15" t="n"/>
      <c r="BH60" s="15" t="n"/>
      <c r="BI60" s="15" t="n"/>
      <c r="BJ60" s="15" t="n"/>
      <c r="BK60" s="15" t="n"/>
      <c r="BL60" s="15" t="n"/>
      <c r="BM60" s="15" t="n"/>
      <c r="BN60" s="15" t="n"/>
      <c r="BO60" s="15" t="n"/>
      <c r="BP60" s="15" t="n"/>
      <c r="BQ60" s="15" t="n"/>
      <c r="BR60" s="15" t="n"/>
      <c r="BS60" s="15" t="n"/>
      <c r="BT60" s="15" t="n"/>
      <c r="BU60" s="15" t="n"/>
      <c r="BV60" s="15" t="n"/>
      <c r="BW60" s="15" t="n"/>
      <c r="BX60" s="15" t="n"/>
      <c r="BY60" s="15" t="n"/>
      <c r="BZ60" s="15" t="n"/>
      <c r="CA60" s="15" t="n"/>
      <c r="CB60" s="15" t="n"/>
      <c r="CC60" s="15" t="n"/>
      <c r="CD60" s="15" t="n"/>
      <c r="CE60" s="15" t="n"/>
      <c r="CF60" s="15" t="n"/>
      <c r="CG60" s="15" t="n"/>
      <c r="CH60" s="15" t="n"/>
      <c r="CI60" s="15" t="n"/>
      <c r="CJ60" s="15" t="n"/>
      <c r="CK60" s="15" t="n"/>
      <c r="CL60" s="15" t="n"/>
      <c r="CM60" s="15" t="n"/>
      <c r="CN60" s="15" t="n"/>
      <c r="CO60" s="15" t="n"/>
      <c r="CP60" s="15" t="n"/>
      <c r="CQ60" s="15" t="n"/>
      <c r="CR60" s="15" t="n"/>
      <c r="CS60" s="15" t="n"/>
      <c r="CT60" s="15" t="n"/>
      <c r="CU60" s="15" t="n"/>
      <c r="CV60" s="15" t="n"/>
      <c r="CW60" s="15" t="n"/>
      <c r="CX60" s="15" t="n"/>
      <c r="CY60" s="15" t="n"/>
      <c r="CZ60" s="17">
        <f>IF(C60="","",COUNTA(AG60,AJ60,AM60,AP60))</f>
        <v/>
      </c>
      <c r="DA60" s="17">
        <f>IF(C60="","",COUNTA(BK60,BM60,BO60,BQ60,BS60,BU60,BW60,BY60))</f>
        <v/>
      </c>
      <c r="DB60" s="17">
        <f>IF(C60="","",COUNTIF(AT60:BJ60,"Yes"))</f>
        <v/>
      </c>
      <c r="DC60" s="17">
        <f>IF(C60="","",COUNTIF(CT60:CX60,"Yes"))</f>
        <v/>
      </c>
    </row>
    <row r="61">
      <c r="B61" s="18" t="n"/>
      <c r="F61" s="18" t="n"/>
      <c r="AC61" s="18" t="n"/>
      <c r="AF61" s="18" t="n"/>
      <c r="CZ61" s="19">
        <f>IF(C61="","",COUNTA(AG61,AJ61,AM61,AP61))</f>
        <v/>
      </c>
      <c r="DA61" s="19">
        <f>IF(C61="","",COUNTA(BK61,BM61,BO61,BQ61,BS61,BU61,BW61,BY61))</f>
        <v/>
      </c>
      <c r="DB61" s="19">
        <f>IF(C61="","",COUNTIF(AT61:BJ61,"Yes"))</f>
        <v/>
      </c>
      <c r="DC61" s="19">
        <f>IF(C61="","",COUNTIF(CT61:CX61,"Yes"))</f>
        <v/>
      </c>
    </row>
    <row r="62">
      <c r="B62" s="18" t="n"/>
      <c r="F62" s="18" t="n"/>
      <c r="AC62" s="18" t="n"/>
      <c r="AF62" s="18" t="n"/>
      <c r="CZ62" s="19">
        <f>IF(C62="","",COUNTA(AG62,AJ62,AM62,AP62))</f>
        <v/>
      </c>
      <c r="DA62" s="19">
        <f>IF(C62="","",COUNTA(BK62,BM62,BO62,BQ62,BS62,BU62,BW62,BY62))</f>
        <v/>
      </c>
      <c r="DB62" s="19">
        <f>IF(C62="","",COUNTIF(AT62:BJ62,"Yes"))</f>
        <v/>
      </c>
      <c r="DC62" s="19">
        <f>IF(C62="","",COUNTIF(CT62:CX62,"Yes"))</f>
        <v/>
      </c>
    </row>
    <row r="63">
      <c r="B63" s="18" t="n"/>
      <c r="F63" s="18" t="n"/>
      <c r="AC63" s="18" t="n"/>
      <c r="AF63" s="18" t="n"/>
      <c r="CZ63" s="19">
        <f>IF(C63="","",COUNTA(AG63,AJ63,AM63,AP63))</f>
        <v/>
      </c>
      <c r="DA63" s="19">
        <f>IF(C63="","",COUNTA(BK63,BM63,BO63,BQ63,BS63,BU63,BW63,BY63))</f>
        <v/>
      </c>
      <c r="DB63" s="19">
        <f>IF(C63="","",COUNTIF(AT63:BJ63,"Yes"))</f>
        <v/>
      </c>
      <c r="DC63" s="19">
        <f>IF(C63="","",COUNTIF(CT63:CX63,"Yes"))</f>
        <v/>
      </c>
    </row>
    <row r="64">
      <c r="B64" s="18" t="n"/>
      <c r="F64" s="18" t="n"/>
      <c r="AC64" s="18" t="n"/>
      <c r="AF64" s="18" t="n"/>
      <c r="CZ64" s="19">
        <f>IF(C64="","",COUNTA(AG64,AJ64,AM64,AP64))</f>
        <v/>
      </c>
      <c r="DA64" s="19">
        <f>IF(C64="","",COUNTA(BK64,BM64,BO64,BQ64,BS64,BU64,BW64,BY64))</f>
        <v/>
      </c>
      <c r="DB64" s="19">
        <f>IF(C64="","",COUNTIF(AT64:BJ64,"Yes"))</f>
        <v/>
      </c>
      <c r="DC64" s="19">
        <f>IF(C64="","",COUNTIF(CT64:CX64,"Yes"))</f>
        <v/>
      </c>
    </row>
    <row r="65">
      <c r="B65" s="18" t="n"/>
      <c r="F65" s="18" t="n"/>
      <c r="AC65" s="18" t="n"/>
      <c r="AF65" s="18" t="n"/>
      <c r="CZ65" s="19">
        <f>IF(C65="","",COUNTA(AG65,AJ65,AM65,AP65))</f>
        <v/>
      </c>
      <c r="DA65" s="19">
        <f>IF(C65="","",COUNTA(BK65,BM65,BO65,BQ65,BS65,BU65,BW65,BY65))</f>
        <v/>
      </c>
      <c r="DB65" s="19">
        <f>IF(C65="","",COUNTIF(AT65:BJ65,"Yes"))</f>
        <v/>
      </c>
      <c r="DC65" s="19">
        <f>IF(C65="","",COUNTIF(CT65:CX65,"Yes"))</f>
        <v/>
      </c>
    </row>
    <row r="66">
      <c r="B66" s="18" t="n"/>
      <c r="F66" s="18" t="n"/>
      <c r="AC66" s="18" t="n"/>
      <c r="AF66" s="18" t="n"/>
      <c r="CZ66" s="19">
        <f>IF(C66="","",COUNTA(AG66,AJ66,AM66,AP66))</f>
        <v/>
      </c>
      <c r="DA66" s="19">
        <f>IF(C66="","",COUNTA(BK66,BM66,BO66,BQ66,BS66,BU66,BW66,BY66))</f>
        <v/>
      </c>
      <c r="DB66" s="19">
        <f>IF(C66="","",COUNTIF(AT66:BJ66,"Yes"))</f>
        <v/>
      </c>
      <c r="DC66" s="19">
        <f>IF(C66="","",COUNTIF(CT66:CX66,"Yes"))</f>
        <v/>
      </c>
    </row>
    <row r="67">
      <c r="B67" s="18" t="n"/>
      <c r="F67" s="18" t="n"/>
      <c r="AC67" s="18" t="n"/>
      <c r="AF67" s="18" t="n"/>
      <c r="CZ67" s="19">
        <f>IF(C67="","",COUNTA(AG67,AJ67,AM67,AP67))</f>
        <v/>
      </c>
      <c r="DA67" s="19">
        <f>IF(C67="","",COUNTA(BK67,BM67,BO67,BQ67,BS67,BU67,BW67,BY67))</f>
        <v/>
      </c>
      <c r="DB67" s="19">
        <f>IF(C67="","",COUNTIF(AT67:BJ67,"Yes"))</f>
        <v/>
      </c>
      <c r="DC67" s="19">
        <f>IF(C67="","",COUNTIF(CT67:CX67,"Yes"))</f>
        <v/>
      </c>
    </row>
    <row r="68">
      <c r="B68" s="18" t="n"/>
      <c r="F68" s="18" t="n"/>
      <c r="AC68" s="18" t="n"/>
      <c r="AF68" s="18" t="n"/>
      <c r="CZ68" s="19">
        <f>IF(C68="","",COUNTA(AG68,AJ68,AM68,AP68))</f>
        <v/>
      </c>
      <c r="DA68" s="19">
        <f>IF(C68="","",COUNTA(BK68,BM68,BO68,BQ68,BS68,BU68,BW68,BY68))</f>
        <v/>
      </c>
      <c r="DB68" s="19">
        <f>IF(C68="","",COUNTIF(AT68:BJ68,"Yes"))</f>
        <v/>
      </c>
      <c r="DC68" s="19">
        <f>IF(C68="","",COUNTIF(CT68:CX68,"Yes"))</f>
        <v/>
      </c>
    </row>
    <row r="69">
      <c r="B69" s="18" t="n"/>
      <c r="F69" s="18" t="n"/>
      <c r="AC69" s="18" t="n"/>
      <c r="AF69" s="18" t="n"/>
      <c r="CZ69" s="19">
        <f>IF(C69="","",COUNTA(AG69,AJ69,AM69,AP69))</f>
        <v/>
      </c>
      <c r="DA69" s="19">
        <f>IF(C69="","",COUNTA(BK69,BM69,BO69,BQ69,BS69,BU69,BW69,BY69))</f>
        <v/>
      </c>
      <c r="DB69" s="19">
        <f>IF(C69="","",COUNTIF(AT69:BJ69,"Yes"))</f>
        <v/>
      </c>
      <c r="DC69" s="19">
        <f>IF(C69="","",COUNTIF(CT69:CX69,"Yes"))</f>
        <v/>
      </c>
    </row>
    <row r="70">
      <c r="B70" s="18" t="n"/>
      <c r="F70" s="18" t="n"/>
      <c r="AC70" s="18" t="n"/>
      <c r="AF70" s="18" t="n"/>
      <c r="CZ70" s="19">
        <f>IF(C70="","",COUNTA(AG70,AJ70,AM70,AP70))</f>
        <v/>
      </c>
      <c r="DA70" s="19">
        <f>IF(C70="","",COUNTA(BK70,BM70,BO70,BQ70,BS70,BU70,BW70,BY70))</f>
        <v/>
      </c>
      <c r="DB70" s="19">
        <f>IF(C70="","",COUNTIF(AT70:BJ70,"Yes"))</f>
        <v/>
      </c>
      <c r="DC70" s="19">
        <f>IF(C70="","",COUNTIF(CT70:CX70,"Yes"))</f>
        <v/>
      </c>
    </row>
    <row r="71">
      <c r="B71" s="18" t="n"/>
      <c r="F71" s="18" t="n"/>
      <c r="AC71" s="18" t="n"/>
      <c r="AF71" s="18" t="n"/>
      <c r="CZ71" s="19">
        <f>IF(C71="","",COUNTA(AG71,AJ71,AM71,AP71))</f>
        <v/>
      </c>
      <c r="DA71" s="19">
        <f>IF(C71="","",COUNTA(BK71,BM71,BO71,BQ71,BS71,BU71,BW71,BY71))</f>
        <v/>
      </c>
      <c r="DB71" s="19">
        <f>IF(C71="","",COUNTIF(AT71:BJ71,"Yes"))</f>
        <v/>
      </c>
      <c r="DC71" s="19">
        <f>IF(C71="","",COUNTIF(CT71:CX71,"Yes"))</f>
        <v/>
      </c>
    </row>
    <row r="72">
      <c r="B72" s="18" t="n"/>
      <c r="F72" s="18" t="n"/>
      <c r="AC72" s="18" t="n"/>
      <c r="AF72" s="18" t="n"/>
      <c r="CZ72" s="19">
        <f>IF(C72="","",COUNTA(AG72,AJ72,AM72,AP72))</f>
        <v/>
      </c>
      <c r="DA72" s="19">
        <f>IF(C72="","",COUNTA(BK72,BM72,BO72,BQ72,BS72,BU72,BW72,BY72))</f>
        <v/>
      </c>
      <c r="DB72" s="19">
        <f>IF(C72="","",COUNTIF(AT72:BJ72,"Yes"))</f>
        <v/>
      </c>
      <c r="DC72" s="19">
        <f>IF(C72="","",COUNTIF(CT72:CX72,"Yes"))</f>
        <v/>
      </c>
    </row>
    <row r="73">
      <c r="B73" s="18" t="n"/>
      <c r="F73" s="18" t="n"/>
      <c r="AC73" s="18" t="n"/>
      <c r="AF73" s="18" t="n"/>
      <c r="CZ73" s="19">
        <f>IF(C73="","",COUNTA(AG73,AJ73,AM73,AP73))</f>
        <v/>
      </c>
      <c r="DA73" s="19">
        <f>IF(C73="","",COUNTA(BK73,BM73,BO73,BQ73,BS73,BU73,BW73,BY73))</f>
        <v/>
      </c>
      <c r="DB73" s="19">
        <f>IF(C73="","",COUNTIF(AT73:BJ73,"Yes"))</f>
        <v/>
      </c>
      <c r="DC73" s="19">
        <f>IF(C73="","",COUNTIF(CT73:CX73,"Yes"))</f>
        <v/>
      </c>
    </row>
    <row r="74">
      <c r="B74" s="18" t="n"/>
      <c r="F74" s="18" t="n"/>
      <c r="AC74" s="18" t="n"/>
      <c r="AF74" s="18" t="n"/>
      <c r="CZ74" s="19">
        <f>IF(C74="","",COUNTA(AG74,AJ74,AM74,AP74))</f>
        <v/>
      </c>
      <c r="DA74" s="19">
        <f>IF(C74="","",COUNTA(BK74,BM74,BO74,BQ74,BS74,BU74,BW74,BY74))</f>
        <v/>
      </c>
      <c r="DB74" s="19">
        <f>IF(C74="","",COUNTIF(AT74:BJ74,"Yes"))</f>
        <v/>
      </c>
      <c r="DC74" s="19">
        <f>IF(C74="","",COUNTIF(CT74:CX74,"Yes"))</f>
        <v/>
      </c>
    </row>
    <row r="75">
      <c r="B75" s="18" t="n"/>
      <c r="F75" s="18" t="n"/>
      <c r="AC75" s="18" t="n"/>
      <c r="AF75" s="18" t="n"/>
      <c r="CZ75" s="19">
        <f>IF(C75="","",COUNTA(AG75,AJ75,AM75,AP75))</f>
        <v/>
      </c>
      <c r="DA75" s="19">
        <f>IF(C75="","",COUNTA(BK75,BM75,BO75,BQ75,BS75,BU75,BW75,BY75))</f>
        <v/>
      </c>
      <c r="DB75" s="19">
        <f>IF(C75="","",COUNTIF(AT75:BJ75,"Yes"))</f>
        <v/>
      </c>
      <c r="DC75" s="19">
        <f>IF(C75="","",COUNTIF(CT75:CX75,"Yes"))</f>
        <v/>
      </c>
    </row>
    <row r="76">
      <c r="B76" s="18" t="n"/>
      <c r="F76" s="18" t="n"/>
      <c r="AC76" s="18" t="n"/>
      <c r="AF76" s="18" t="n"/>
      <c r="CZ76" s="19">
        <f>IF(C76="","",COUNTA(AG76,AJ76,AM76,AP76))</f>
        <v/>
      </c>
      <c r="DA76" s="19">
        <f>IF(C76="","",COUNTA(BK76,BM76,BO76,BQ76,BS76,BU76,BW76,BY76))</f>
        <v/>
      </c>
      <c r="DB76" s="19">
        <f>IF(C76="","",COUNTIF(AT76:BJ76,"Yes"))</f>
        <v/>
      </c>
      <c r="DC76" s="19">
        <f>IF(C76="","",COUNTIF(CT76:CX76,"Yes"))</f>
        <v/>
      </c>
    </row>
    <row r="77">
      <c r="B77" s="18" t="n"/>
      <c r="F77" s="18" t="n"/>
      <c r="AC77" s="18" t="n"/>
      <c r="AF77" s="18" t="n"/>
      <c r="CZ77" s="19">
        <f>IF(C77="","",COUNTA(AG77,AJ77,AM77,AP77))</f>
        <v/>
      </c>
      <c r="DA77" s="19">
        <f>IF(C77="","",COUNTA(BK77,BM77,BO77,BQ77,BS77,BU77,BW77,BY77))</f>
        <v/>
      </c>
      <c r="DB77" s="19">
        <f>IF(C77="","",COUNTIF(AT77:BJ77,"Yes"))</f>
        <v/>
      </c>
      <c r="DC77" s="19">
        <f>IF(C77="","",COUNTIF(CT77:CX77,"Yes"))</f>
        <v/>
      </c>
    </row>
    <row r="78">
      <c r="B78" s="18" t="n"/>
      <c r="F78" s="18" t="n"/>
      <c r="AC78" s="18" t="n"/>
      <c r="AF78" s="18" t="n"/>
      <c r="CZ78" s="19">
        <f>IF(C78="","",COUNTA(AG78,AJ78,AM78,AP78))</f>
        <v/>
      </c>
      <c r="DA78" s="19">
        <f>IF(C78="","",COUNTA(BK78,BM78,BO78,BQ78,BS78,BU78,BW78,BY78))</f>
        <v/>
      </c>
      <c r="DB78" s="19">
        <f>IF(C78="","",COUNTIF(AT78:BJ78,"Yes"))</f>
        <v/>
      </c>
      <c r="DC78" s="19">
        <f>IF(C78="","",COUNTIF(CT78:CX78,"Yes"))</f>
        <v/>
      </c>
    </row>
    <row r="79">
      <c r="B79" s="18" t="n"/>
      <c r="F79" s="18" t="n"/>
      <c r="AC79" s="18" t="n"/>
      <c r="AF79" s="18" t="n"/>
      <c r="CZ79" s="19">
        <f>IF(C79="","",COUNTA(AG79,AJ79,AM79,AP79))</f>
        <v/>
      </c>
      <c r="DA79" s="19">
        <f>IF(C79="","",COUNTA(BK79,BM79,BO79,BQ79,BS79,BU79,BW79,BY79))</f>
        <v/>
      </c>
      <c r="DB79" s="19">
        <f>IF(C79="","",COUNTIF(AT79:BJ79,"Yes"))</f>
        <v/>
      </c>
      <c r="DC79" s="19">
        <f>IF(C79="","",COUNTIF(CT79:CX79,"Yes"))</f>
        <v/>
      </c>
    </row>
    <row r="80">
      <c r="B80" s="18" t="n"/>
      <c r="F80" s="18" t="n"/>
      <c r="AC80" s="18" t="n"/>
      <c r="AF80" s="18" t="n"/>
      <c r="CZ80" s="19">
        <f>IF(C80="","",COUNTA(AG80,AJ80,AM80,AP80))</f>
        <v/>
      </c>
      <c r="DA80" s="19">
        <f>IF(C80="","",COUNTA(BK80,BM80,BO80,BQ80,BS80,BU80,BW80,BY80))</f>
        <v/>
      </c>
      <c r="DB80" s="19">
        <f>IF(C80="","",COUNTIF(AT80:BJ80,"Yes"))</f>
        <v/>
      </c>
      <c r="DC80" s="19">
        <f>IF(C80="","",COUNTIF(CT80:CX80,"Yes"))</f>
        <v/>
      </c>
    </row>
    <row r="81">
      <c r="B81" s="18" t="n"/>
      <c r="F81" s="18" t="n"/>
      <c r="AC81" s="18" t="n"/>
      <c r="AF81" s="18" t="n"/>
      <c r="CZ81" s="19">
        <f>IF(C81="","",COUNTA(AG81,AJ81,AM81,AP81))</f>
        <v/>
      </c>
      <c r="DA81" s="19">
        <f>IF(C81="","",COUNTA(BK81,BM81,BO81,BQ81,BS81,BU81,BW81,BY81))</f>
        <v/>
      </c>
      <c r="DB81" s="19">
        <f>IF(C81="","",COUNTIF(AT81:BJ81,"Yes"))</f>
        <v/>
      </c>
      <c r="DC81" s="19">
        <f>IF(C81="","",COUNTIF(CT81:CX81,"Yes"))</f>
        <v/>
      </c>
    </row>
    <row r="82">
      <c r="B82" s="18" t="n"/>
      <c r="F82" s="18" t="n"/>
      <c r="AC82" s="18" t="n"/>
      <c r="AF82" s="18" t="n"/>
      <c r="CZ82" s="19">
        <f>IF(C82="","",COUNTA(AG82,AJ82,AM82,AP82))</f>
        <v/>
      </c>
      <c r="DA82" s="19">
        <f>IF(C82="","",COUNTA(BK82,BM82,BO82,BQ82,BS82,BU82,BW82,BY82))</f>
        <v/>
      </c>
      <c r="DB82" s="19">
        <f>IF(C82="","",COUNTIF(AT82:BJ82,"Yes"))</f>
        <v/>
      </c>
      <c r="DC82" s="19">
        <f>IF(C82="","",COUNTIF(CT82:CX82,"Yes"))</f>
        <v/>
      </c>
    </row>
    <row r="83">
      <c r="B83" s="18" t="n"/>
      <c r="F83" s="18" t="n"/>
      <c r="AC83" s="18" t="n"/>
      <c r="AF83" s="18" t="n"/>
      <c r="CZ83" s="19">
        <f>IF(C83="","",COUNTA(AG83,AJ83,AM83,AP83))</f>
        <v/>
      </c>
      <c r="DA83" s="19">
        <f>IF(C83="","",COUNTA(BK83,BM83,BO83,BQ83,BS83,BU83,BW83,BY83))</f>
        <v/>
      </c>
      <c r="DB83" s="19">
        <f>IF(C83="","",COUNTIF(AT83:BJ83,"Yes"))</f>
        <v/>
      </c>
      <c r="DC83" s="19">
        <f>IF(C83="","",COUNTIF(CT83:CX83,"Yes"))</f>
        <v/>
      </c>
    </row>
    <row r="84">
      <c r="B84" s="18" t="n"/>
      <c r="F84" s="18" t="n"/>
      <c r="AC84" s="18" t="n"/>
      <c r="AF84" s="18" t="n"/>
      <c r="CZ84" s="19">
        <f>IF(C84="","",COUNTA(AG84,AJ84,AM84,AP84))</f>
        <v/>
      </c>
      <c r="DA84" s="19">
        <f>IF(C84="","",COUNTA(BK84,BM84,BO84,BQ84,BS84,BU84,BW84,BY84))</f>
        <v/>
      </c>
      <c r="DB84" s="19">
        <f>IF(C84="","",COUNTIF(AT84:BJ84,"Yes"))</f>
        <v/>
      </c>
      <c r="DC84" s="19">
        <f>IF(C84="","",COUNTIF(CT84:CX84,"Yes"))</f>
        <v/>
      </c>
    </row>
    <row r="85">
      <c r="B85" s="18" t="n"/>
      <c r="F85" s="18" t="n"/>
      <c r="AC85" s="18" t="n"/>
      <c r="AF85" s="18" t="n"/>
      <c r="CZ85" s="19">
        <f>IF(C85="","",COUNTA(AG85,AJ85,AM85,AP85))</f>
        <v/>
      </c>
      <c r="DA85" s="19">
        <f>IF(C85="","",COUNTA(BK85,BM85,BO85,BQ85,BS85,BU85,BW85,BY85))</f>
        <v/>
      </c>
      <c r="DB85" s="19">
        <f>IF(C85="","",COUNTIF(AT85:BJ85,"Yes"))</f>
        <v/>
      </c>
      <c r="DC85" s="19">
        <f>IF(C85="","",COUNTIF(CT85:CX85,"Yes"))</f>
        <v/>
      </c>
    </row>
    <row r="86">
      <c r="B86" s="18" t="n"/>
      <c r="F86" s="18" t="n"/>
      <c r="AC86" s="18" t="n"/>
      <c r="AF86" s="18" t="n"/>
      <c r="CZ86" s="19">
        <f>IF(C86="","",COUNTA(AG86,AJ86,AM86,AP86))</f>
        <v/>
      </c>
      <c r="DA86" s="19">
        <f>IF(C86="","",COUNTA(BK86,BM86,BO86,BQ86,BS86,BU86,BW86,BY86))</f>
        <v/>
      </c>
      <c r="DB86" s="19">
        <f>IF(C86="","",COUNTIF(AT86:BJ86,"Yes"))</f>
        <v/>
      </c>
      <c r="DC86" s="19">
        <f>IF(C86="","",COUNTIF(CT86:CX86,"Yes"))</f>
        <v/>
      </c>
    </row>
    <row r="87">
      <c r="B87" s="18" t="n"/>
      <c r="F87" s="18" t="n"/>
      <c r="AC87" s="18" t="n"/>
      <c r="AF87" s="18" t="n"/>
      <c r="CZ87" s="19">
        <f>IF(C87="","",COUNTA(AG87,AJ87,AM87,AP87))</f>
        <v/>
      </c>
      <c r="DA87" s="19">
        <f>IF(C87="","",COUNTA(BK87,BM87,BO87,BQ87,BS87,BU87,BW87,BY87))</f>
        <v/>
      </c>
      <c r="DB87" s="19">
        <f>IF(C87="","",COUNTIF(AT87:BJ87,"Yes"))</f>
        <v/>
      </c>
      <c r="DC87" s="19">
        <f>IF(C87="","",COUNTIF(CT87:CX87,"Yes"))</f>
        <v/>
      </c>
    </row>
    <row r="88">
      <c r="B88" s="18" t="n"/>
      <c r="F88" s="18" t="n"/>
      <c r="AC88" s="18" t="n"/>
      <c r="AF88" s="18" t="n"/>
      <c r="CZ88" s="19">
        <f>IF(C88="","",COUNTA(AG88,AJ88,AM88,AP88))</f>
        <v/>
      </c>
      <c r="DA88" s="19">
        <f>IF(C88="","",COUNTA(BK88,BM88,BO88,BQ88,BS88,BU88,BW88,BY88))</f>
        <v/>
      </c>
      <c r="DB88" s="19">
        <f>IF(C88="","",COUNTIF(AT88:BJ88,"Yes"))</f>
        <v/>
      </c>
      <c r="DC88" s="19">
        <f>IF(C88="","",COUNTIF(CT88:CX88,"Yes"))</f>
        <v/>
      </c>
    </row>
    <row r="89">
      <c r="B89" s="18" t="n"/>
      <c r="F89" s="18" t="n"/>
      <c r="AC89" s="18" t="n"/>
      <c r="AF89" s="18" t="n"/>
      <c r="CZ89" s="19">
        <f>IF(C89="","",COUNTA(AG89,AJ89,AM89,AP89))</f>
        <v/>
      </c>
      <c r="DA89" s="19">
        <f>IF(C89="","",COUNTA(BK89,BM89,BO89,BQ89,BS89,BU89,BW89,BY89))</f>
        <v/>
      </c>
      <c r="DB89" s="19">
        <f>IF(C89="","",COUNTIF(AT89:BJ89,"Yes"))</f>
        <v/>
      </c>
      <c r="DC89" s="19">
        <f>IF(C89="","",COUNTIF(CT89:CX89,"Yes"))</f>
        <v/>
      </c>
    </row>
    <row r="90">
      <c r="B90" s="18" t="n"/>
      <c r="F90" s="18" t="n"/>
      <c r="AC90" s="18" t="n"/>
      <c r="AF90" s="18" t="n"/>
      <c r="CZ90" s="19">
        <f>IF(C90="","",COUNTA(AG90,AJ90,AM90,AP90))</f>
        <v/>
      </c>
      <c r="DA90" s="19">
        <f>IF(C90="","",COUNTA(BK90,BM90,BO90,BQ90,BS90,BU90,BW90,BY90))</f>
        <v/>
      </c>
      <c r="DB90" s="19">
        <f>IF(C90="","",COUNTIF(AT90:BJ90,"Yes"))</f>
        <v/>
      </c>
      <c r="DC90" s="19">
        <f>IF(C90="","",COUNTIF(CT90:CX90,"Yes"))</f>
        <v/>
      </c>
    </row>
    <row r="91">
      <c r="B91" s="18" t="n"/>
      <c r="F91" s="18" t="n"/>
      <c r="AC91" s="18" t="n"/>
      <c r="AF91" s="18" t="n"/>
      <c r="CZ91" s="19">
        <f>IF(C91="","",COUNTA(AG91,AJ91,AM91,AP91))</f>
        <v/>
      </c>
      <c r="DA91" s="19">
        <f>IF(C91="","",COUNTA(BK91,BM91,BO91,BQ91,BS91,BU91,BW91,BY91))</f>
        <v/>
      </c>
      <c r="DB91" s="19">
        <f>IF(C91="","",COUNTIF(AT91:BJ91,"Yes"))</f>
        <v/>
      </c>
      <c r="DC91" s="19">
        <f>IF(C91="","",COUNTIF(CT91:CX91,"Yes"))</f>
        <v/>
      </c>
    </row>
    <row r="92">
      <c r="B92" s="18" t="n"/>
      <c r="F92" s="18" t="n"/>
      <c r="AC92" s="18" t="n"/>
      <c r="AF92" s="18" t="n"/>
      <c r="CZ92" s="19">
        <f>IF(C92="","",COUNTA(AG92,AJ92,AM92,AP92))</f>
        <v/>
      </c>
      <c r="DA92" s="19">
        <f>IF(C92="","",COUNTA(BK92,BM92,BO92,BQ92,BS92,BU92,BW92,BY92))</f>
        <v/>
      </c>
      <c r="DB92" s="19">
        <f>IF(C92="","",COUNTIF(AT92:BJ92,"Yes"))</f>
        <v/>
      </c>
      <c r="DC92" s="19">
        <f>IF(C92="","",COUNTIF(CT92:CX92,"Yes"))</f>
        <v/>
      </c>
    </row>
    <row r="93">
      <c r="B93" s="18" t="n"/>
      <c r="F93" s="18" t="n"/>
      <c r="AC93" s="18" t="n"/>
      <c r="AF93" s="18" t="n"/>
      <c r="CZ93" s="19">
        <f>IF(C93="","",COUNTA(AG93,AJ93,AM93,AP93))</f>
        <v/>
      </c>
      <c r="DA93" s="19">
        <f>IF(C93="","",COUNTA(BK93,BM93,BO93,BQ93,BS93,BU93,BW93,BY93))</f>
        <v/>
      </c>
      <c r="DB93" s="19">
        <f>IF(C93="","",COUNTIF(AT93:BJ93,"Yes"))</f>
        <v/>
      </c>
      <c r="DC93" s="19">
        <f>IF(C93="","",COUNTIF(CT93:CX93,"Yes"))</f>
        <v/>
      </c>
    </row>
    <row r="94">
      <c r="B94" s="18" t="n"/>
      <c r="F94" s="18" t="n"/>
      <c r="AC94" s="18" t="n"/>
      <c r="AF94" s="18" t="n"/>
      <c r="CZ94" s="19">
        <f>IF(C94="","",COUNTA(AG94,AJ94,AM94,AP94))</f>
        <v/>
      </c>
      <c r="DA94" s="19">
        <f>IF(C94="","",COUNTA(BK94,BM94,BO94,BQ94,BS94,BU94,BW94,BY94))</f>
        <v/>
      </c>
      <c r="DB94" s="19">
        <f>IF(C94="","",COUNTIF(AT94:BJ94,"Yes"))</f>
        <v/>
      </c>
      <c r="DC94" s="19">
        <f>IF(C94="","",COUNTIF(CT94:CX94,"Yes"))</f>
        <v/>
      </c>
    </row>
    <row r="95">
      <c r="B95" s="18" t="n"/>
      <c r="F95" s="18" t="n"/>
      <c r="AC95" s="18" t="n"/>
      <c r="AF95" s="18" t="n"/>
      <c r="CZ95" s="19">
        <f>IF(C95="","",COUNTA(AG95,AJ95,AM95,AP95))</f>
        <v/>
      </c>
      <c r="DA95" s="19">
        <f>IF(C95="","",COUNTA(BK95,BM95,BO95,BQ95,BS95,BU95,BW95,BY95))</f>
        <v/>
      </c>
      <c r="DB95" s="19">
        <f>IF(C95="","",COUNTIF(AT95:BJ95,"Yes"))</f>
        <v/>
      </c>
      <c r="DC95" s="19">
        <f>IF(C95="","",COUNTIF(CT95:CX95,"Yes"))</f>
        <v/>
      </c>
    </row>
    <row r="96">
      <c r="B96" s="18" t="n"/>
      <c r="F96" s="18" t="n"/>
      <c r="AC96" s="18" t="n"/>
      <c r="AF96" s="18" t="n"/>
      <c r="CZ96" s="19">
        <f>IF(C96="","",COUNTA(AG96,AJ96,AM96,AP96))</f>
        <v/>
      </c>
      <c r="DA96" s="19">
        <f>IF(C96="","",COUNTA(BK96,BM96,BO96,BQ96,BS96,BU96,BW96,BY96))</f>
        <v/>
      </c>
      <c r="DB96" s="19">
        <f>IF(C96="","",COUNTIF(AT96:BJ96,"Yes"))</f>
        <v/>
      </c>
      <c r="DC96" s="19">
        <f>IF(C96="","",COUNTIF(CT96:CX96,"Yes"))</f>
        <v/>
      </c>
    </row>
    <row r="97">
      <c r="B97" s="18" t="n"/>
      <c r="F97" s="18" t="n"/>
      <c r="AC97" s="18" t="n"/>
      <c r="AF97" s="18" t="n"/>
      <c r="CZ97" s="19">
        <f>IF(C97="","",COUNTA(AG97,AJ97,AM97,AP97))</f>
        <v/>
      </c>
      <c r="DA97" s="19">
        <f>IF(C97="","",COUNTA(BK97,BM97,BO97,BQ97,BS97,BU97,BW97,BY97))</f>
        <v/>
      </c>
      <c r="DB97" s="19">
        <f>IF(C97="","",COUNTIF(AT97:BJ97,"Yes"))</f>
        <v/>
      </c>
      <c r="DC97" s="19">
        <f>IF(C97="","",COUNTIF(CT97:CX97,"Yes"))</f>
        <v/>
      </c>
    </row>
    <row r="98">
      <c r="B98" s="18" t="n"/>
      <c r="F98" s="18" t="n"/>
      <c r="AC98" s="18" t="n"/>
      <c r="AF98" s="18" t="n"/>
      <c r="CZ98" s="19">
        <f>IF(C98="","",COUNTA(AG98,AJ98,AM98,AP98))</f>
        <v/>
      </c>
      <c r="DA98" s="19">
        <f>IF(C98="","",COUNTA(BK98,BM98,BO98,BQ98,BS98,BU98,BW98,BY98))</f>
        <v/>
      </c>
      <c r="DB98" s="19">
        <f>IF(C98="","",COUNTIF(AT98:BJ98,"Yes"))</f>
        <v/>
      </c>
      <c r="DC98" s="19">
        <f>IF(C98="","",COUNTIF(CT98:CX98,"Yes"))</f>
        <v/>
      </c>
    </row>
    <row r="99">
      <c r="B99" s="18" t="n"/>
      <c r="F99" s="18" t="n"/>
      <c r="AC99" s="18" t="n"/>
      <c r="AF99" s="18" t="n"/>
      <c r="CZ99" s="19">
        <f>IF(C99="","",COUNTA(AG99,AJ99,AM99,AP99))</f>
        <v/>
      </c>
      <c r="DA99" s="19">
        <f>IF(C99="","",COUNTA(BK99,BM99,BO99,BQ99,BS99,BU99,BW99,BY99))</f>
        <v/>
      </c>
      <c r="DB99" s="19">
        <f>IF(C99="","",COUNTIF(AT99:BJ99,"Yes"))</f>
        <v/>
      </c>
      <c r="DC99" s="19">
        <f>IF(C99="","",COUNTIF(CT99:CX99,"Yes"))</f>
        <v/>
      </c>
    </row>
    <row r="100">
      <c r="B100" s="18" t="n"/>
      <c r="F100" s="18" t="n"/>
      <c r="AC100" s="18" t="n"/>
      <c r="AF100" s="18" t="n"/>
      <c r="CZ100" s="19">
        <f>IF(C100="","",COUNTA(AG100,AJ100,AM100,AP100))</f>
        <v/>
      </c>
      <c r="DA100" s="19">
        <f>IF(C100="","",COUNTA(BK100,BM100,BO100,BQ100,BS100,BU100,BW100,BY100))</f>
        <v/>
      </c>
      <c r="DB100" s="19">
        <f>IF(C100="","",COUNTIF(AT100:BJ100,"Yes"))</f>
        <v/>
      </c>
      <c r="DC100" s="19">
        <f>IF(C100="","",COUNTIF(CT100:CX100,"Yes"))</f>
        <v/>
      </c>
    </row>
    <row r="101">
      <c r="B101" s="18" t="n"/>
      <c r="F101" s="18" t="n"/>
      <c r="AC101" s="18" t="n"/>
      <c r="AF101" s="18" t="n"/>
      <c r="CZ101" s="19">
        <f>IF(C101="","",COUNTA(AG101,AJ101,AM101,AP101))</f>
        <v/>
      </c>
      <c r="DA101" s="19">
        <f>IF(C101="","",COUNTA(BK101,BM101,BO101,BQ101,BS101,BU101,BW101,BY101))</f>
        <v/>
      </c>
      <c r="DB101" s="19">
        <f>IF(C101="","",COUNTIF(AT101:BJ101,"Yes"))</f>
        <v/>
      </c>
      <c r="DC101" s="19">
        <f>IF(C101="","",COUNTIF(CT101:CX101,"Yes"))</f>
        <v/>
      </c>
    </row>
    <row r="102">
      <c r="B102" s="18" t="n"/>
      <c r="F102" s="18" t="n"/>
      <c r="AC102" s="18" t="n"/>
      <c r="AF102" s="18" t="n"/>
      <c r="CZ102" s="19">
        <f>IF(C102="","",COUNTA(AG102,AJ102,AM102,AP102))</f>
        <v/>
      </c>
      <c r="DA102" s="19">
        <f>IF(C102="","",COUNTA(BK102,BM102,BO102,BQ102,BS102,BU102,BW102,BY102))</f>
        <v/>
      </c>
      <c r="DB102" s="19">
        <f>IF(C102="","",COUNTIF(AT102:BJ102,"Yes"))</f>
        <v/>
      </c>
      <c r="DC102" s="19">
        <f>IF(C102="","",COUNTIF(CT102:CX102,"Yes"))</f>
        <v/>
      </c>
    </row>
    <row r="103">
      <c r="B103" s="18" t="n"/>
      <c r="F103" s="18" t="n"/>
      <c r="AC103" s="18" t="n"/>
      <c r="AF103" s="18" t="n"/>
      <c r="CZ103" s="19">
        <f>IF(C103="","",COUNTA(AG103,AJ103,AM103,AP103))</f>
        <v/>
      </c>
      <c r="DA103" s="19">
        <f>IF(C103="","",COUNTA(BK103,BM103,BO103,BQ103,BS103,BU103,BW103,BY103))</f>
        <v/>
      </c>
      <c r="DB103" s="19">
        <f>IF(C103="","",COUNTIF(AT103:BJ103,"Yes"))</f>
        <v/>
      </c>
      <c r="DC103" s="19">
        <f>IF(C103="","",COUNTIF(CT103:CX103,"Yes"))</f>
        <v/>
      </c>
    </row>
    <row r="104">
      <c r="B104" s="18" t="n"/>
      <c r="F104" s="18" t="n"/>
      <c r="AC104" s="18" t="n"/>
      <c r="AF104" s="18" t="n"/>
      <c r="CZ104" s="19">
        <f>IF(C104="","",COUNTA(AG104,AJ104,AM104,AP104))</f>
        <v/>
      </c>
      <c r="DA104" s="19">
        <f>IF(C104="","",COUNTA(BK104,BM104,BO104,BQ104,BS104,BU104,BW104,BY104))</f>
        <v/>
      </c>
      <c r="DB104" s="19">
        <f>IF(C104="","",COUNTIF(AT104:BJ104,"Yes"))</f>
        <v/>
      </c>
      <c r="DC104" s="19">
        <f>IF(C104="","",COUNTIF(CT104:CX104,"Yes"))</f>
        <v/>
      </c>
    </row>
    <row r="105">
      <c r="B105" s="18" t="n"/>
      <c r="F105" s="18" t="n"/>
      <c r="AC105" s="18" t="n"/>
      <c r="AF105" s="18" t="n"/>
      <c r="CZ105" s="19">
        <f>IF(C105="","",COUNTA(AG105,AJ105,AM105,AP105))</f>
        <v/>
      </c>
      <c r="DA105" s="19">
        <f>IF(C105="","",COUNTA(BK105,BM105,BO105,BQ105,BS105,BU105,BW105,BY105))</f>
        <v/>
      </c>
      <c r="DB105" s="19">
        <f>IF(C105="","",COUNTIF(AT105:BJ105,"Yes"))</f>
        <v/>
      </c>
      <c r="DC105" s="19">
        <f>IF(C105="","",COUNTIF(CT105:CX105,"Yes"))</f>
        <v/>
      </c>
    </row>
    <row r="106">
      <c r="B106" s="18" t="n"/>
      <c r="F106" s="18" t="n"/>
      <c r="AC106" s="18" t="n"/>
      <c r="AF106" s="18" t="n"/>
      <c r="CZ106" s="19">
        <f>IF(C106="","",COUNTA(AG106,AJ106,AM106,AP106))</f>
        <v/>
      </c>
      <c r="DA106" s="19">
        <f>IF(C106="","",COUNTA(BK106,BM106,BO106,BQ106,BS106,BU106,BW106,BY106))</f>
        <v/>
      </c>
      <c r="DB106" s="19">
        <f>IF(C106="","",COUNTIF(AT106:BJ106,"Yes"))</f>
        <v/>
      </c>
      <c r="DC106" s="19">
        <f>IF(C106="","",COUNTIF(CT106:CX106,"Yes"))</f>
        <v/>
      </c>
    </row>
    <row r="107">
      <c r="B107" s="18" t="n"/>
      <c r="F107" s="18" t="n"/>
      <c r="AC107" s="18" t="n"/>
      <c r="AF107" s="18" t="n"/>
      <c r="CZ107" s="19">
        <f>IF(C107="","",COUNTA(AG107,AJ107,AM107,AP107))</f>
        <v/>
      </c>
      <c r="DA107" s="19">
        <f>IF(C107="","",COUNTA(BK107,BM107,BO107,BQ107,BS107,BU107,BW107,BY107))</f>
        <v/>
      </c>
      <c r="DB107" s="19">
        <f>IF(C107="","",COUNTIF(AT107:BJ107,"Yes"))</f>
        <v/>
      </c>
      <c r="DC107" s="19">
        <f>IF(C107="","",COUNTIF(CT107:CX107,"Yes"))</f>
        <v/>
      </c>
    </row>
    <row r="108">
      <c r="B108" s="18" t="n"/>
      <c r="F108" s="18" t="n"/>
      <c r="AC108" s="18" t="n"/>
      <c r="AF108" s="18" t="n"/>
      <c r="CZ108" s="19">
        <f>IF(C108="","",COUNTA(AG108,AJ108,AM108,AP108))</f>
        <v/>
      </c>
      <c r="DA108" s="19">
        <f>IF(C108="","",COUNTA(BK108,BM108,BO108,BQ108,BS108,BU108,BW108,BY108))</f>
        <v/>
      </c>
      <c r="DB108" s="19">
        <f>IF(C108="","",COUNTIF(AT108:BJ108,"Yes"))</f>
        <v/>
      </c>
      <c r="DC108" s="19">
        <f>IF(C108="","",COUNTIF(CT108:CX108,"Yes"))</f>
        <v/>
      </c>
    </row>
    <row r="109">
      <c r="B109" s="18" t="n"/>
      <c r="F109" s="18" t="n"/>
      <c r="AC109" s="18" t="n"/>
      <c r="AF109" s="18" t="n"/>
      <c r="CZ109" s="19">
        <f>IF(C109="","",COUNTA(AG109,AJ109,AM109,AP109))</f>
        <v/>
      </c>
      <c r="DA109" s="19">
        <f>IF(C109="","",COUNTA(BK109,BM109,BO109,BQ109,BS109,BU109,BW109,BY109))</f>
        <v/>
      </c>
      <c r="DB109" s="19">
        <f>IF(C109="","",COUNTIF(AT109:BJ109,"Yes"))</f>
        <v/>
      </c>
      <c r="DC109" s="19">
        <f>IF(C109="","",COUNTIF(CT109:CX109,"Yes"))</f>
        <v/>
      </c>
    </row>
    <row r="110">
      <c r="B110" s="18" t="n"/>
      <c r="F110" s="18" t="n"/>
      <c r="AC110" s="18" t="n"/>
      <c r="AF110" s="18" t="n"/>
      <c r="CZ110" s="19">
        <f>IF(C110="","",COUNTA(AG110,AJ110,AM110,AP110))</f>
        <v/>
      </c>
      <c r="DA110" s="19">
        <f>IF(C110="","",COUNTA(BK110,BM110,BO110,BQ110,BS110,BU110,BW110,BY110))</f>
        <v/>
      </c>
      <c r="DB110" s="19">
        <f>IF(C110="","",COUNTIF(AT110:BJ110,"Yes"))</f>
        <v/>
      </c>
      <c r="DC110" s="19">
        <f>IF(C110="","",COUNTIF(CT110:CX110,"Yes"))</f>
        <v/>
      </c>
    </row>
    <row r="111">
      <c r="B111" s="18" t="n"/>
      <c r="F111" s="18" t="n"/>
      <c r="AC111" s="18" t="n"/>
      <c r="AF111" s="18" t="n"/>
      <c r="CZ111" s="19">
        <f>IF(C111="","",COUNTA(AG111,AJ111,AM111,AP111))</f>
        <v/>
      </c>
      <c r="DA111" s="19">
        <f>IF(C111="","",COUNTA(BK111,BM111,BO111,BQ111,BS111,BU111,BW111,BY111))</f>
        <v/>
      </c>
      <c r="DB111" s="19">
        <f>IF(C111="","",COUNTIF(AT111:BJ111,"Yes"))</f>
        <v/>
      </c>
      <c r="DC111" s="19">
        <f>IF(C111="","",COUNTIF(CT111:CX111,"Yes"))</f>
        <v/>
      </c>
    </row>
    <row r="112">
      <c r="B112" s="18" t="n"/>
      <c r="F112" s="18" t="n"/>
      <c r="AC112" s="18" t="n"/>
      <c r="AF112" s="18" t="n"/>
      <c r="CZ112" s="19">
        <f>IF(C112="","",COUNTA(AG112,AJ112,AM112,AP112))</f>
        <v/>
      </c>
      <c r="DA112" s="19">
        <f>IF(C112="","",COUNTA(BK112,BM112,BO112,BQ112,BS112,BU112,BW112,BY112))</f>
        <v/>
      </c>
      <c r="DB112" s="19">
        <f>IF(C112="","",COUNTIF(AT112:BJ112,"Yes"))</f>
        <v/>
      </c>
      <c r="DC112" s="19">
        <f>IF(C112="","",COUNTIF(CT112:CX112,"Yes"))</f>
        <v/>
      </c>
    </row>
    <row r="113">
      <c r="B113" s="18" t="n"/>
      <c r="F113" s="18" t="n"/>
      <c r="AC113" s="18" t="n"/>
      <c r="AF113" s="18" t="n"/>
      <c r="CZ113" s="19">
        <f>IF(C113="","",COUNTA(AG113,AJ113,AM113,AP113))</f>
        <v/>
      </c>
      <c r="DA113" s="19">
        <f>IF(C113="","",COUNTA(BK113,BM113,BO113,BQ113,BS113,BU113,BW113,BY113))</f>
        <v/>
      </c>
      <c r="DB113" s="19">
        <f>IF(C113="","",COUNTIF(AT113:BJ113,"Yes"))</f>
        <v/>
      </c>
      <c r="DC113" s="19">
        <f>IF(C113="","",COUNTIF(CT113:CX113,"Yes"))</f>
        <v/>
      </c>
    </row>
    <row r="114">
      <c r="B114" s="18" t="n"/>
      <c r="F114" s="18" t="n"/>
      <c r="AC114" s="18" t="n"/>
      <c r="AF114" s="18" t="n"/>
      <c r="CZ114" s="19">
        <f>IF(C114="","",COUNTA(AG114,AJ114,AM114,AP114))</f>
        <v/>
      </c>
      <c r="DA114" s="19">
        <f>IF(C114="","",COUNTA(BK114,BM114,BO114,BQ114,BS114,BU114,BW114,BY114))</f>
        <v/>
      </c>
      <c r="DB114" s="19">
        <f>IF(C114="","",COUNTIF(AT114:BJ114,"Yes"))</f>
        <v/>
      </c>
      <c r="DC114" s="19">
        <f>IF(C114="","",COUNTIF(CT114:CX114,"Yes"))</f>
        <v/>
      </c>
    </row>
    <row r="115">
      <c r="B115" s="18" t="n"/>
      <c r="F115" s="18" t="n"/>
      <c r="AC115" s="18" t="n"/>
      <c r="AF115" s="18" t="n"/>
      <c r="CZ115" s="19">
        <f>IF(C115="","",COUNTA(AG115,AJ115,AM115,AP115))</f>
        <v/>
      </c>
      <c r="DA115" s="19">
        <f>IF(C115="","",COUNTA(BK115,BM115,BO115,BQ115,BS115,BU115,BW115,BY115))</f>
        <v/>
      </c>
      <c r="DB115" s="19">
        <f>IF(C115="","",COUNTIF(AT115:BJ115,"Yes"))</f>
        <v/>
      </c>
      <c r="DC115" s="19">
        <f>IF(C115="","",COUNTIF(CT115:CX115,"Yes"))</f>
        <v/>
      </c>
    </row>
    <row r="116">
      <c r="B116" s="18" t="n"/>
      <c r="F116" s="18" t="n"/>
      <c r="AC116" s="18" t="n"/>
      <c r="AF116" s="18" t="n"/>
      <c r="CZ116" s="19">
        <f>IF(C116="","",COUNTA(AG116,AJ116,AM116,AP116))</f>
        <v/>
      </c>
      <c r="DA116" s="19">
        <f>IF(C116="","",COUNTA(BK116,BM116,BO116,BQ116,BS116,BU116,BW116,BY116))</f>
        <v/>
      </c>
      <c r="DB116" s="19">
        <f>IF(C116="","",COUNTIF(AT116:BJ116,"Yes"))</f>
        <v/>
      </c>
      <c r="DC116" s="19">
        <f>IF(C116="","",COUNTIF(CT116:CX116,"Yes"))</f>
        <v/>
      </c>
    </row>
    <row r="117">
      <c r="B117" s="18" t="n"/>
      <c r="F117" s="18" t="n"/>
      <c r="AC117" s="18" t="n"/>
      <c r="AF117" s="18" t="n"/>
      <c r="CZ117" s="19">
        <f>IF(C117="","",COUNTA(AG117,AJ117,AM117,AP117))</f>
        <v/>
      </c>
      <c r="DA117" s="19">
        <f>IF(C117="","",COUNTA(BK117,BM117,BO117,BQ117,BS117,BU117,BW117,BY117))</f>
        <v/>
      </c>
      <c r="DB117" s="19">
        <f>IF(C117="","",COUNTIF(AT117:BJ117,"Yes"))</f>
        <v/>
      </c>
      <c r="DC117" s="19">
        <f>IF(C117="","",COUNTIF(CT117:CX117,"Yes"))</f>
        <v/>
      </c>
    </row>
    <row r="118">
      <c r="B118" s="18" t="n"/>
      <c r="F118" s="18" t="n"/>
      <c r="AC118" s="18" t="n"/>
      <c r="AF118" s="18" t="n"/>
      <c r="CZ118" s="19">
        <f>IF(C118="","",COUNTA(AG118,AJ118,AM118,AP118))</f>
        <v/>
      </c>
      <c r="DA118" s="19">
        <f>IF(C118="","",COUNTA(BK118,BM118,BO118,BQ118,BS118,BU118,BW118,BY118))</f>
        <v/>
      </c>
      <c r="DB118" s="19">
        <f>IF(C118="","",COUNTIF(AT118:BJ118,"Yes"))</f>
        <v/>
      </c>
      <c r="DC118" s="19">
        <f>IF(C118="","",COUNTIF(CT118:CX118,"Yes"))</f>
        <v/>
      </c>
    </row>
    <row r="119">
      <c r="B119" s="18" t="n"/>
      <c r="F119" s="18" t="n"/>
      <c r="AC119" s="18" t="n"/>
      <c r="AF119" s="18" t="n"/>
      <c r="CZ119" s="19">
        <f>IF(C119="","",COUNTA(AG119,AJ119,AM119,AP119))</f>
        <v/>
      </c>
      <c r="DA119" s="19">
        <f>IF(C119="","",COUNTA(BK119,BM119,BO119,BQ119,BS119,BU119,BW119,BY119))</f>
        <v/>
      </c>
      <c r="DB119" s="19">
        <f>IF(C119="","",COUNTIF(AT119:BJ119,"Yes"))</f>
        <v/>
      </c>
      <c r="DC119" s="19">
        <f>IF(C119="","",COUNTIF(CT119:CX119,"Yes"))</f>
        <v/>
      </c>
    </row>
    <row r="120">
      <c r="B120" s="18" t="n"/>
      <c r="F120" s="18" t="n"/>
      <c r="AC120" s="18" t="n"/>
      <c r="AF120" s="18" t="n"/>
      <c r="CZ120" s="19">
        <f>IF(C120="","",COUNTA(AG120,AJ120,AM120,AP120))</f>
        <v/>
      </c>
      <c r="DA120" s="19">
        <f>IF(C120="","",COUNTA(BK120,BM120,BO120,BQ120,BS120,BU120,BW120,BY120))</f>
        <v/>
      </c>
      <c r="DB120" s="19">
        <f>IF(C120="","",COUNTIF(AT120:BJ120,"Yes"))</f>
        <v/>
      </c>
      <c r="DC120" s="19">
        <f>IF(C120="","",COUNTIF(CT120:CX120,"Yes"))</f>
        <v/>
      </c>
    </row>
    <row r="121">
      <c r="B121" s="18" t="n"/>
      <c r="F121" s="18" t="n"/>
      <c r="AC121" s="18" t="n"/>
      <c r="AF121" s="18" t="n"/>
      <c r="CZ121" s="19">
        <f>IF(C121="","",COUNTA(AG121,AJ121,AM121,AP121))</f>
        <v/>
      </c>
      <c r="DA121" s="19">
        <f>IF(C121="","",COUNTA(BK121,BM121,BO121,BQ121,BS121,BU121,BW121,BY121))</f>
        <v/>
      </c>
      <c r="DB121" s="19">
        <f>IF(C121="","",COUNTIF(AT121:BJ121,"Yes"))</f>
        <v/>
      </c>
      <c r="DC121" s="19">
        <f>IF(C121="","",COUNTIF(CT121:CX121,"Yes"))</f>
        <v/>
      </c>
    </row>
    <row r="122">
      <c r="B122" s="18" t="n"/>
      <c r="F122" s="18" t="n"/>
      <c r="AC122" s="18" t="n"/>
      <c r="AF122" s="18" t="n"/>
      <c r="CZ122" s="19">
        <f>IF(C122="","",COUNTA(AG122,AJ122,AM122,AP122))</f>
        <v/>
      </c>
      <c r="DA122" s="19">
        <f>IF(C122="","",COUNTA(BK122,BM122,BO122,BQ122,BS122,BU122,BW122,BY122))</f>
        <v/>
      </c>
      <c r="DB122" s="19">
        <f>IF(C122="","",COUNTIF(AT122:BJ122,"Yes"))</f>
        <v/>
      </c>
      <c r="DC122" s="19">
        <f>IF(C122="","",COUNTIF(CT122:CX122,"Yes"))</f>
        <v/>
      </c>
    </row>
    <row r="123">
      <c r="B123" s="18" t="n"/>
      <c r="F123" s="18" t="n"/>
      <c r="AC123" s="18" t="n"/>
      <c r="AF123" s="18" t="n"/>
      <c r="CZ123" s="19">
        <f>IF(C123="","",COUNTA(AG123,AJ123,AM123,AP123))</f>
        <v/>
      </c>
      <c r="DA123" s="19">
        <f>IF(C123="","",COUNTA(BK123,BM123,BO123,BQ123,BS123,BU123,BW123,BY123))</f>
        <v/>
      </c>
      <c r="DB123" s="19">
        <f>IF(C123="","",COUNTIF(AT123:BJ123,"Yes"))</f>
        <v/>
      </c>
      <c r="DC123" s="19">
        <f>IF(C123="","",COUNTIF(CT123:CX123,"Yes"))</f>
        <v/>
      </c>
    </row>
    <row r="124">
      <c r="B124" s="18" t="n"/>
      <c r="F124" s="18" t="n"/>
      <c r="AC124" s="18" t="n"/>
      <c r="AF124" s="18" t="n"/>
      <c r="CZ124" s="19">
        <f>IF(C124="","",COUNTA(AG124,AJ124,AM124,AP124))</f>
        <v/>
      </c>
      <c r="DA124" s="19">
        <f>IF(C124="","",COUNTA(BK124,BM124,BO124,BQ124,BS124,BU124,BW124,BY124))</f>
        <v/>
      </c>
      <c r="DB124" s="19">
        <f>IF(C124="","",COUNTIF(AT124:BJ124,"Yes"))</f>
        <v/>
      </c>
      <c r="DC124" s="19">
        <f>IF(C124="","",COUNTIF(CT124:CX124,"Yes"))</f>
        <v/>
      </c>
    </row>
    <row r="125">
      <c r="B125" s="18" t="n"/>
      <c r="F125" s="18" t="n"/>
      <c r="AC125" s="18" t="n"/>
      <c r="AF125" s="18" t="n"/>
      <c r="CZ125" s="19">
        <f>IF(C125="","",COUNTA(AG125,AJ125,AM125,AP125))</f>
        <v/>
      </c>
      <c r="DA125" s="19">
        <f>IF(C125="","",COUNTA(BK125,BM125,BO125,BQ125,BS125,BU125,BW125,BY125))</f>
        <v/>
      </c>
      <c r="DB125" s="19">
        <f>IF(C125="","",COUNTIF(AT125:BJ125,"Yes"))</f>
        <v/>
      </c>
      <c r="DC125" s="19">
        <f>IF(C125="","",COUNTIF(CT125:CX125,"Yes"))</f>
        <v/>
      </c>
    </row>
    <row r="126">
      <c r="B126" s="18" t="n"/>
      <c r="F126" s="18" t="n"/>
      <c r="AC126" s="18" t="n"/>
      <c r="AF126" s="18" t="n"/>
      <c r="CZ126" s="19">
        <f>IF(C126="","",COUNTA(AG126,AJ126,AM126,AP126))</f>
        <v/>
      </c>
      <c r="DA126" s="19">
        <f>IF(C126="","",COUNTA(BK126,BM126,BO126,BQ126,BS126,BU126,BW126,BY126))</f>
        <v/>
      </c>
      <c r="DB126" s="19">
        <f>IF(C126="","",COUNTIF(AT126:BJ126,"Yes"))</f>
        <v/>
      </c>
      <c r="DC126" s="19">
        <f>IF(C126="","",COUNTIF(CT126:CX126,"Yes"))</f>
        <v/>
      </c>
    </row>
    <row r="127">
      <c r="B127" s="18" t="n"/>
      <c r="F127" s="18" t="n"/>
      <c r="AC127" s="18" t="n"/>
      <c r="AF127" s="18" t="n"/>
      <c r="CZ127" s="19">
        <f>IF(C127="","",COUNTA(AG127,AJ127,AM127,AP127))</f>
        <v/>
      </c>
      <c r="DA127" s="19">
        <f>IF(C127="","",COUNTA(BK127,BM127,BO127,BQ127,BS127,BU127,BW127,BY127))</f>
        <v/>
      </c>
      <c r="DB127" s="19">
        <f>IF(C127="","",COUNTIF(AT127:BJ127,"Yes"))</f>
        <v/>
      </c>
      <c r="DC127" s="19">
        <f>IF(C127="","",COUNTIF(CT127:CX127,"Yes"))</f>
        <v/>
      </c>
    </row>
    <row r="128">
      <c r="B128" s="18" t="n"/>
      <c r="F128" s="18" t="n"/>
      <c r="AC128" s="18" t="n"/>
      <c r="AF128" s="18" t="n"/>
      <c r="CZ128" s="19">
        <f>IF(C128="","",COUNTA(AG128,AJ128,AM128,AP128))</f>
        <v/>
      </c>
      <c r="DA128" s="19">
        <f>IF(C128="","",COUNTA(BK128,BM128,BO128,BQ128,BS128,BU128,BW128,BY128))</f>
        <v/>
      </c>
      <c r="DB128" s="19">
        <f>IF(C128="","",COUNTIF(AT128:BJ128,"Yes"))</f>
        <v/>
      </c>
      <c r="DC128" s="19">
        <f>IF(C128="","",COUNTIF(CT128:CX128,"Yes"))</f>
        <v/>
      </c>
    </row>
    <row r="129">
      <c r="B129" s="18" t="n"/>
      <c r="F129" s="18" t="n"/>
      <c r="AC129" s="18" t="n"/>
      <c r="AF129" s="18" t="n"/>
      <c r="CZ129" s="19">
        <f>IF(C129="","",COUNTA(AG129,AJ129,AM129,AP129))</f>
        <v/>
      </c>
      <c r="DA129" s="19">
        <f>IF(C129="","",COUNTA(BK129,BM129,BO129,BQ129,BS129,BU129,BW129,BY129))</f>
        <v/>
      </c>
      <c r="DB129" s="19">
        <f>IF(C129="","",COUNTIF(AT129:BJ129,"Yes"))</f>
        <v/>
      </c>
      <c r="DC129" s="19">
        <f>IF(C129="","",COUNTIF(CT129:CX129,"Yes"))</f>
        <v/>
      </c>
    </row>
    <row r="130">
      <c r="B130" s="18" t="n"/>
      <c r="F130" s="18" t="n"/>
      <c r="AC130" s="18" t="n"/>
      <c r="AF130" s="18" t="n"/>
      <c r="CZ130" s="19">
        <f>IF(C130="","",COUNTA(AG130,AJ130,AM130,AP130))</f>
        <v/>
      </c>
      <c r="DA130" s="19">
        <f>IF(C130="","",COUNTA(BK130,BM130,BO130,BQ130,BS130,BU130,BW130,BY130))</f>
        <v/>
      </c>
      <c r="DB130" s="19">
        <f>IF(C130="","",COUNTIF(AT130:BJ130,"Yes"))</f>
        <v/>
      </c>
      <c r="DC130" s="19">
        <f>IF(C130="","",COUNTIF(CT130:CX130,"Yes"))</f>
        <v/>
      </c>
    </row>
    <row r="131">
      <c r="B131" s="18" t="n"/>
      <c r="F131" s="18" t="n"/>
      <c r="AC131" s="18" t="n"/>
      <c r="AF131" s="18" t="n"/>
      <c r="CZ131" s="19">
        <f>IF(C131="","",COUNTA(AG131,AJ131,AM131,AP131))</f>
        <v/>
      </c>
      <c r="DA131" s="19">
        <f>IF(C131="","",COUNTA(BK131,BM131,BO131,BQ131,BS131,BU131,BW131,BY131))</f>
        <v/>
      </c>
      <c r="DB131" s="19">
        <f>IF(C131="","",COUNTIF(AT131:BJ131,"Yes"))</f>
        <v/>
      </c>
      <c r="DC131" s="19">
        <f>IF(C131="","",COUNTIF(CT131:CX131,"Yes"))</f>
        <v/>
      </c>
    </row>
    <row r="132">
      <c r="B132" s="18" t="n"/>
      <c r="F132" s="18" t="n"/>
      <c r="AC132" s="18" t="n"/>
      <c r="AF132" s="18" t="n"/>
      <c r="CZ132" s="19">
        <f>IF(C132="","",COUNTA(AG132,AJ132,AM132,AP132))</f>
        <v/>
      </c>
      <c r="DA132" s="19">
        <f>IF(C132="","",COUNTA(BK132,BM132,BO132,BQ132,BS132,BU132,BW132,BY132))</f>
        <v/>
      </c>
      <c r="DB132" s="19">
        <f>IF(C132="","",COUNTIF(AT132:BJ132,"Yes"))</f>
        <v/>
      </c>
      <c r="DC132" s="19">
        <f>IF(C132="","",COUNTIF(CT132:CX132,"Yes"))</f>
        <v/>
      </c>
    </row>
    <row r="133">
      <c r="B133" s="18" t="n"/>
      <c r="F133" s="18" t="n"/>
      <c r="AC133" s="18" t="n"/>
      <c r="AF133" s="18" t="n"/>
      <c r="CZ133" s="19">
        <f>IF(C133="","",COUNTA(AG133,AJ133,AM133,AP133))</f>
        <v/>
      </c>
      <c r="DA133" s="19">
        <f>IF(C133="","",COUNTA(BK133,BM133,BO133,BQ133,BS133,BU133,BW133,BY133))</f>
        <v/>
      </c>
      <c r="DB133" s="19">
        <f>IF(C133="","",COUNTIF(AT133:BJ133,"Yes"))</f>
        <v/>
      </c>
      <c r="DC133" s="19">
        <f>IF(C133="","",COUNTIF(CT133:CX133,"Yes"))</f>
        <v/>
      </c>
    </row>
    <row r="134">
      <c r="B134" s="18" t="n"/>
      <c r="F134" s="18" t="n"/>
      <c r="AC134" s="18" t="n"/>
      <c r="AF134" s="18" t="n"/>
      <c r="CZ134" s="19">
        <f>IF(C134="","",COUNTA(AG134,AJ134,AM134,AP134))</f>
        <v/>
      </c>
      <c r="DA134" s="19">
        <f>IF(C134="","",COUNTA(BK134,BM134,BO134,BQ134,BS134,BU134,BW134,BY134))</f>
        <v/>
      </c>
      <c r="DB134" s="19">
        <f>IF(C134="","",COUNTIF(AT134:BJ134,"Yes"))</f>
        <v/>
      </c>
      <c r="DC134" s="19">
        <f>IF(C134="","",COUNTIF(CT134:CX134,"Yes"))</f>
        <v/>
      </c>
    </row>
    <row r="135">
      <c r="B135" s="18" t="n"/>
      <c r="F135" s="18" t="n"/>
      <c r="AC135" s="18" t="n"/>
      <c r="AF135" s="18" t="n"/>
      <c r="CZ135" s="19">
        <f>IF(C135="","",COUNTA(AG135,AJ135,AM135,AP135))</f>
        <v/>
      </c>
      <c r="DA135" s="19">
        <f>IF(C135="","",COUNTA(BK135,BM135,BO135,BQ135,BS135,BU135,BW135,BY135))</f>
        <v/>
      </c>
      <c r="DB135" s="19">
        <f>IF(C135="","",COUNTIF(AT135:BJ135,"Yes"))</f>
        <v/>
      </c>
      <c r="DC135" s="19">
        <f>IF(C135="","",COUNTIF(CT135:CX135,"Yes"))</f>
        <v/>
      </c>
    </row>
    <row r="136">
      <c r="B136" s="18" t="n"/>
      <c r="F136" s="18" t="n"/>
      <c r="AC136" s="18" t="n"/>
      <c r="AF136" s="18" t="n"/>
      <c r="CZ136" s="19">
        <f>IF(C136="","",COUNTA(AG136,AJ136,AM136,AP136))</f>
        <v/>
      </c>
      <c r="DA136" s="19">
        <f>IF(C136="","",COUNTA(BK136,BM136,BO136,BQ136,BS136,BU136,BW136,BY136))</f>
        <v/>
      </c>
      <c r="DB136" s="19">
        <f>IF(C136="","",COUNTIF(AT136:BJ136,"Yes"))</f>
        <v/>
      </c>
      <c r="DC136" s="19">
        <f>IF(C136="","",COUNTIF(CT136:CX136,"Yes"))</f>
        <v/>
      </c>
    </row>
    <row r="137">
      <c r="B137" s="18" t="n"/>
      <c r="F137" s="18" t="n"/>
      <c r="AC137" s="18" t="n"/>
      <c r="AF137" s="18" t="n"/>
      <c r="CZ137" s="19">
        <f>IF(C137="","",COUNTA(AG137,AJ137,AM137,AP137))</f>
        <v/>
      </c>
      <c r="DA137" s="19">
        <f>IF(C137="","",COUNTA(BK137,BM137,BO137,BQ137,BS137,BU137,BW137,BY137))</f>
        <v/>
      </c>
      <c r="DB137" s="19">
        <f>IF(C137="","",COUNTIF(AT137:BJ137,"Yes"))</f>
        <v/>
      </c>
      <c r="DC137" s="19">
        <f>IF(C137="","",COUNTIF(CT137:CX137,"Yes"))</f>
        <v/>
      </c>
    </row>
    <row r="138">
      <c r="B138" s="18" t="n"/>
      <c r="F138" s="18" t="n"/>
      <c r="AC138" s="18" t="n"/>
      <c r="AF138" s="18" t="n"/>
      <c r="CZ138" s="19">
        <f>IF(C138="","",COUNTA(AG138,AJ138,AM138,AP138))</f>
        <v/>
      </c>
      <c r="DA138" s="19">
        <f>IF(C138="","",COUNTA(BK138,BM138,BO138,BQ138,BS138,BU138,BW138,BY138))</f>
        <v/>
      </c>
      <c r="DB138" s="19">
        <f>IF(C138="","",COUNTIF(AT138:BJ138,"Yes"))</f>
        <v/>
      </c>
      <c r="DC138" s="19">
        <f>IF(C138="","",COUNTIF(CT138:CX138,"Yes"))</f>
        <v/>
      </c>
    </row>
    <row r="139">
      <c r="B139" s="18" t="n"/>
      <c r="F139" s="18" t="n"/>
      <c r="AC139" s="18" t="n"/>
      <c r="AF139" s="18" t="n"/>
      <c r="CZ139" s="19">
        <f>IF(C139="","",COUNTA(AG139,AJ139,AM139,AP139))</f>
        <v/>
      </c>
      <c r="DA139" s="19">
        <f>IF(C139="","",COUNTA(BK139,BM139,BO139,BQ139,BS139,BU139,BW139,BY139))</f>
        <v/>
      </c>
      <c r="DB139" s="19">
        <f>IF(C139="","",COUNTIF(AT139:BJ139,"Yes"))</f>
        <v/>
      </c>
      <c r="DC139" s="19">
        <f>IF(C139="","",COUNTIF(CT139:CX139,"Yes"))</f>
        <v/>
      </c>
    </row>
    <row r="140">
      <c r="B140" s="18" t="n"/>
      <c r="F140" s="18" t="n"/>
      <c r="AC140" s="18" t="n"/>
      <c r="AF140" s="18" t="n"/>
      <c r="CZ140" s="19">
        <f>IF(C140="","",COUNTA(AG140,AJ140,AM140,AP140))</f>
        <v/>
      </c>
      <c r="DA140" s="19">
        <f>IF(C140="","",COUNTA(BK140,BM140,BO140,BQ140,BS140,BU140,BW140,BY140))</f>
        <v/>
      </c>
      <c r="DB140" s="19">
        <f>IF(C140="","",COUNTIF(AT140:BJ140,"Yes"))</f>
        <v/>
      </c>
      <c r="DC140" s="19">
        <f>IF(C140="","",COUNTIF(CT140:CX140,"Yes"))</f>
        <v/>
      </c>
    </row>
    <row r="141">
      <c r="B141" s="18" t="n"/>
      <c r="F141" s="18" t="n"/>
      <c r="AC141" s="18" t="n"/>
      <c r="AF141" s="18" t="n"/>
      <c r="CZ141" s="19">
        <f>IF(C141="","",COUNTA(AG141,AJ141,AM141,AP141))</f>
        <v/>
      </c>
      <c r="DA141" s="19">
        <f>IF(C141="","",COUNTA(BK141,BM141,BO141,BQ141,BS141,BU141,BW141,BY141))</f>
        <v/>
      </c>
      <c r="DB141" s="19">
        <f>IF(C141="","",COUNTIF(AT141:BJ141,"Yes"))</f>
        <v/>
      </c>
      <c r="DC141" s="19">
        <f>IF(C141="","",COUNTIF(CT141:CX141,"Yes"))</f>
        <v/>
      </c>
    </row>
    <row r="142">
      <c r="B142" s="18" t="n"/>
      <c r="F142" s="18" t="n"/>
      <c r="AC142" s="18" t="n"/>
      <c r="AF142" s="18" t="n"/>
      <c r="CZ142" s="19">
        <f>IF(C142="","",COUNTA(AG142,AJ142,AM142,AP142))</f>
        <v/>
      </c>
      <c r="DA142" s="19">
        <f>IF(C142="","",COUNTA(BK142,BM142,BO142,BQ142,BS142,BU142,BW142,BY142))</f>
        <v/>
      </c>
      <c r="DB142" s="19">
        <f>IF(C142="","",COUNTIF(AT142:BJ142,"Yes"))</f>
        <v/>
      </c>
      <c r="DC142" s="19">
        <f>IF(C142="","",COUNTIF(CT142:CX142,"Yes"))</f>
        <v/>
      </c>
    </row>
    <row r="143">
      <c r="B143" s="18" t="n"/>
      <c r="F143" s="18" t="n"/>
      <c r="AC143" s="18" t="n"/>
      <c r="AF143" s="18" t="n"/>
      <c r="CZ143" s="19">
        <f>IF(C143="","",COUNTA(AG143,AJ143,AM143,AP143))</f>
        <v/>
      </c>
      <c r="DA143" s="19">
        <f>IF(C143="","",COUNTA(BK143,BM143,BO143,BQ143,BS143,BU143,BW143,BY143))</f>
        <v/>
      </c>
      <c r="DB143" s="19">
        <f>IF(C143="","",COUNTIF(AT143:BJ143,"Yes"))</f>
        <v/>
      </c>
      <c r="DC143" s="19">
        <f>IF(C143="","",COUNTIF(CT143:CX143,"Yes"))</f>
        <v/>
      </c>
    </row>
    <row r="144">
      <c r="B144" s="18" t="n"/>
      <c r="F144" s="18" t="n"/>
      <c r="AC144" s="18" t="n"/>
      <c r="AF144" s="18" t="n"/>
      <c r="CZ144" s="19">
        <f>IF(C144="","",COUNTA(AG144,AJ144,AM144,AP144))</f>
        <v/>
      </c>
      <c r="DA144" s="19">
        <f>IF(C144="","",COUNTA(BK144,BM144,BO144,BQ144,BS144,BU144,BW144,BY144))</f>
        <v/>
      </c>
      <c r="DB144" s="19">
        <f>IF(C144="","",COUNTIF(AT144:BJ144,"Yes"))</f>
        <v/>
      </c>
      <c r="DC144" s="19">
        <f>IF(C144="","",COUNTIF(CT144:CX144,"Yes"))</f>
        <v/>
      </c>
    </row>
    <row r="145">
      <c r="B145" s="18" t="n"/>
      <c r="F145" s="18" t="n"/>
      <c r="AC145" s="18" t="n"/>
      <c r="AF145" s="18" t="n"/>
      <c r="CZ145" s="19">
        <f>IF(C145="","",COUNTA(AG145,AJ145,AM145,AP145))</f>
        <v/>
      </c>
      <c r="DA145" s="19">
        <f>IF(C145="","",COUNTA(BK145,BM145,BO145,BQ145,BS145,BU145,BW145,BY145))</f>
        <v/>
      </c>
      <c r="DB145" s="19">
        <f>IF(C145="","",COUNTIF(AT145:BJ145,"Yes"))</f>
        <v/>
      </c>
      <c r="DC145" s="19">
        <f>IF(C145="","",COUNTIF(CT145:CX145,"Yes"))</f>
        <v/>
      </c>
    </row>
    <row r="146">
      <c r="B146" s="18" t="n"/>
      <c r="F146" s="18" t="n"/>
      <c r="AC146" s="18" t="n"/>
      <c r="AF146" s="18" t="n"/>
      <c r="CZ146" s="19">
        <f>IF(C146="","",COUNTA(AG146,AJ146,AM146,AP146))</f>
        <v/>
      </c>
      <c r="DA146" s="19">
        <f>IF(C146="","",COUNTA(BK146,BM146,BO146,BQ146,BS146,BU146,BW146,BY146))</f>
        <v/>
      </c>
      <c r="DB146" s="19">
        <f>IF(C146="","",COUNTIF(AT146:BJ146,"Yes"))</f>
        <v/>
      </c>
      <c r="DC146" s="19">
        <f>IF(C146="","",COUNTIF(CT146:CX146,"Yes"))</f>
        <v/>
      </c>
    </row>
    <row r="147">
      <c r="B147" s="18" t="n"/>
      <c r="F147" s="18" t="n"/>
      <c r="AC147" s="18" t="n"/>
      <c r="AF147" s="18" t="n"/>
      <c r="CZ147" s="19">
        <f>IF(C147="","",COUNTA(AG147,AJ147,AM147,AP147))</f>
        <v/>
      </c>
      <c r="DA147" s="19">
        <f>IF(C147="","",COUNTA(BK147,BM147,BO147,BQ147,BS147,BU147,BW147,BY147))</f>
        <v/>
      </c>
      <c r="DB147" s="19">
        <f>IF(C147="","",COUNTIF(AT147:BJ147,"Yes"))</f>
        <v/>
      </c>
      <c r="DC147" s="19">
        <f>IF(C147="","",COUNTIF(CT147:CX147,"Yes"))</f>
        <v/>
      </c>
    </row>
    <row r="148">
      <c r="B148" s="18" t="n"/>
      <c r="F148" s="18" t="n"/>
      <c r="AC148" s="18" t="n"/>
      <c r="AF148" s="18" t="n"/>
      <c r="CZ148" s="19">
        <f>IF(C148="","",COUNTA(AG148,AJ148,AM148,AP148))</f>
        <v/>
      </c>
      <c r="DA148" s="19">
        <f>IF(C148="","",COUNTA(BK148,BM148,BO148,BQ148,BS148,BU148,BW148,BY148))</f>
        <v/>
      </c>
      <c r="DB148" s="19">
        <f>IF(C148="","",COUNTIF(AT148:BJ148,"Yes"))</f>
        <v/>
      </c>
      <c r="DC148" s="19">
        <f>IF(C148="","",COUNTIF(CT148:CX148,"Yes"))</f>
        <v/>
      </c>
    </row>
    <row r="149">
      <c r="B149" s="18" t="n"/>
      <c r="F149" s="18" t="n"/>
      <c r="AC149" s="18" t="n"/>
      <c r="AF149" s="18" t="n"/>
      <c r="CZ149" s="19">
        <f>IF(C149="","",COUNTA(AG149,AJ149,AM149,AP149))</f>
        <v/>
      </c>
      <c r="DA149" s="19">
        <f>IF(C149="","",COUNTA(BK149,BM149,BO149,BQ149,BS149,BU149,BW149,BY149))</f>
        <v/>
      </c>
      <c r="DB149" s="19">
        <f>IF(C149="","",COUNTIF(AT149:BJ149,"Yes"))</f>
        <v/>
      </c>
      <c r="DC149" s="19">
        <f>IF(C149="","",COUNTIF(CT149:CX149,"Yes"))</f>
        <v/>
      </c>
    </row>
    <row r="150">
      <c r="B150" s="18" t="n"/>
      <c r="F150" s="18" t="n"/>
      <c r="AC150" s="18" t="n"/>
      <c r="AF150" s="18" t="n"/>
      <c r="CZ150" s="19">
        <f>IF(C150="","",COUNTA(AG150,AJ150,AM150,AP150))</f>
        <v/>
      </c>
      <c r="DA150" s="19">
        <f>IF(C150="","",COUNTA(BK150,BM150,BO150,BQ150,BS150,BU150,BW150,BY150))</f>
        <v/>
      </c>
      <c r="DB150" s="19">
        <f>IF(C150="","",COUNTIF(AT150:BJ150,"Yes"))</f>
        <v/>
      </c>
      <c r="DC150" s="19">
        <f>IF(C150="","",COUNTIF(CT150:CX150,"Yes"))</f>
        <v/>
      </c>
    </row>
    <row r="151">
      <c r="B151" s="18" t="n"/>
      <c r="F151" s="18" t="n"/>
      <c r="AC151" s="18" t="n"/>
      <c r="AF151" s="18" t="n"/>
      <c r="CZ151" s="19">
        <f>IF(C151="","",COUNTA(AG151,AJ151,AM151,AP151))</f>
        <v/>
      </c>
      <c r="DA151" s="19">
        <f>IF(C151="","",COUNTA(BK151,BM151,BO151,BQ151,BS151,BU151,BW151,BY151))</f>
        <v/>
      </c>
      <c r="DB151" s="19">
        <f>IF(C151="","",COUNTIF(AT151:BJ151,"Yes"))</f>
        <v/>
      </c>
      <c r="DC151" s="19">
        <f>IF(C151="","",COUNTIF(CT151:CX151,"Yes"))</f>
        <v/>
      </c>
    </row>
    <row r="152">
      <c r="B152" s="18" t="n"/>
      <c r="F152" s="18" t="n"/>
      <c r="AC152" s="18" t="n"/>
      <c r="AF152" s="18" t="n"/>
      <c r="CZ152" s="19">
        <f>IF(C152="","",COUNTA(AG152,AJ152,AM152,AP152))</f>
        <v/>
      </c>
      <c r="DA152" s="19">
        <f>IF(C152="","",COUNTA(BK152,BM152,BO152,BQ152,BS152,BU152,BW152,BY152))</f>
        <v/>
      </c>
      <c r="DB152" s="19">
        <f>IF(C152="","",COUNTIF(AT152:BJ152,"Yes"))</f>
        <v/>
      </c>
      <c r="DC152" s="19">
        <f>IF(C152="","",COUNTIF(CT152:CX152,"Yes"))</f>
        <v/>
      </c>
    </row>
    <row r="153">
      <c r="B153" s="18" t="n"/>
      <c r="F153" s="18" t="n"/>
      <c r="AC153" s="18" t="n"/>
      <c r="AF153" s="18" t="n"/>
      <c r="CZ153" s="19">
        <f>IF(C153="","",COUNTA(AG153,AJ153,AM153,AP153))</f>
        <v/>
      </c>
      <c r="DA153" s="19">
        <f>IF(C153="","",COUNTA(BK153,BM153,BO153,BQ153,BS153,BU153,BW153,BY153))</f>
        <v/>
      </c>
      <c r="DB153" s="19">
        <f>IF(C153="","",COUNTIF(AT153:BJ153,"Yes"))</f>
        <v/>
      </c>
      <c r="DC153" s="19">
        <f>IF(C153="","",COUNTIF(CT153:CX153,"Yes"))</f>
        <v/>
      </c>
    </row>
    <row r="154">
      <c r="B154" s="18" t="n"/>
      <c r="F154" s="18" t="n"/>
      <c r="AC154" s="18" t="n"/>
      <c r="AF154" s="18" t="n"/>
      <c r="CZ154" s="19">
        <f>IF(C154="","",COUNTA(AG154,AJ154,AM154,AP154))</f>
        <v/>
      </c>
      <c r="DA154" s="19">
        <f>IF(C154="","",COUNTA(BK154,BM154,BO154,BQ154,BS154,BU154,BW154,BY154))</f>
        <v/>
      </c>
      <c r="DB154" s="19">
        <f>IF(C154="","",COUNTIF(AT154:BJ154,"Yes"))</f>
        <v/>
      </c>
      <c r="DC154" s="19">
        <f>IF(C154="","",COUNTIF(CT154:CX154,"Yes"))</f>
        <v/>
      </c>
    </row>
    <row r="155">
      <c r="B155" s="18" t="n"/>
      <c r="F155" s="18" t="n"/>
      <c r="AC155" s="18" t="n"/>
      <c r="AF155" s="18" t="n"/>
      <c r="CZ155" s="19">
        <f>IF(C155="","",COUNTA(AG155,AJ155,AM155,AP155))</f>
        <v/>
      </c>
      <c r="DA155" s="19">
        <f>IF(C155="","",COUNTA(BK155,BM155,BO155,BQ155,BS155,BU155,BW155,BY155))</f>
        <v/>
      </c>
      <c r="DB155" s="19">
        <f>IF(C155="","",COUNTIF(AT155:BJ155,"Yes"))</f>
        <v/>
      </c>
      <c r="DC155" s="19">
        <f>IF(C155="","",COUNTIF(CT155:CX155,"Yes"))</f>
        <v/>
      </c>
    </row>
    <row r="156">
      <c r="B156" s="18" t="n"/>
      <c r="F156" s="18" t="n"/>
      <c r="AC156" s="18" t="n"/>
      <c r="AF156" s="18" t="n"/>
      <c r="CZ156" s="19">
        <f>IF(C156="","",COUNTA(AG156,AJ156,AM156,AP156))</f>
        <v/>
      </c>
      <c r="DA156" s="19">
        <f>IF(C156="","",COUNTA(BK156,BM156,BO156,BQ156,BS156,BU156,BW156,BY156))</f>
        <v/>
      </c>
      <c r="DB156" s="19">
        <f>IF(C156="","",COUNTIF(AT156:BJ156,"Yes"))</f>
        <v/>
      </c>
      <c r="DC156" s="19">
        <f>IF(C156="","",COUNTIF(CT156:CX156,"Yes"))</f>
        <v/>
      </c>
    </row>
    <row r="157">
      <c r="B157" s="18" t="n"/>
      <c r="F157" s="18" t="n"/>
      <c r="AC157" s="18" t="n"/>
      <c r="AF157" s="18" t="n"/>
      <c r="CZ157" s="19">
        <f>IF(C157="","",COUNTA(AG157,AJ157,AM157,AP157))</f>
        <v/>
      </c>
      <c r="DA157" s="19">
        <f>IF(C157="","",COUNTA(BK157,BM157,BO157,BQ157,BS157,BU157,BW157,BY157))</f>
        <v/>
      </c>
      <c r="DB157" s="19">
        <f>IF(C157="","",COUNTIF(AT157:BJ157,"Yes"))</f>
        <v/>
      </c>
      <c r="DC157" s="19">
        <f>IF(C157="","",COUNTIF(CT157:CX157,"Yes"))</f>
        <v/>
      </c>
    </row>
    <row r="158">
      <c r="B158" s="18" t="n"/>
      <c r="F158" s="18" t="n"/>
      <c r="AC158" s="18" t="n"/>
      <c r="AF158" s="18" t="n"/>
      <c r="CZ158" s="19">
        <f>IF(C158="","",COUNTA(AG158,AJ158,AM158,AP158))</f>
        <v/>
      </c>
      <c r="DA158" s="19">
        <f>IF(C158="","",COUNTA(BK158,BM158,BO158,BQ158,BS158,BU158,BW158,BY158))</f>
        <v/>
      </c>
      <c r="DB158" s="19">
        <f>IF(C158="","",COUNTIF(AT158:BJ158,"Yes"))</f>
        <v/>
      </c>
      <c r="DC158" s="19">
        <f>IF(C158="","",COUNTIF(CT158:CX158,"Yes"))</f>
        <v/>
      </c>
    </row>
    <row r="159">
      <c r="B159" s="18" t="n"/>
      <c r="F159" s="18" t="n"/>
      <c r="AC159" s="18" t="n"/>
      <c r="AF159" s="18" t="n"/>
      <c r="CZ159" s="19">
        <f>IF(C159="","",COUNTA(AG159,AJ159,AM159,AP159))</f>
        <v/>
      </c>
      <c r="DA159" s="19">
        <f>IF(C159="","",COUNTA(BK159,BM159,BO159,BQ159,BS159,BU159,BW159,BY159))</f>
        <v/>
      </c>
      <c r="DB159" s="19">
        <f>IF(C159="","",COUNTIF(AT159:BJ159,"Yes"))</f>
        <v/>
      </c>
      <c r="DC159" s="19">
        <f>IF(C159="","",COUNTIF(CT159:CX159,"Yes"))</f>
        <v/>
      </c>
    </row>
    <row r="160">
      <c r="B160" s="18" t="n"/>
      <c r="F160" s="18" t="n"/>
      <c r="AC160" s="18" t="n"/>
      <c r="AF160" s="18" t="n"/>
      <c r="CZ160" s="19">
        <f>IF(C160="","",COUNTA(AG160,AJ160,AM160,AP160))</f>
        <v/>
      </c>
      <c r="DA160" s="19">
        <f>IF(C160="","",COUNTA(BK160,BM160,BO160,BQ160,BS160,BU160,BW160,BY160))</f>
        <v/>
      </c>
      <c r="DB160" s="19">
        <f>IF(C160="","",COUNTIF(AT160:BJ160,"Yes"))</f>
        <v/>
      </c>
      <c r="DC160" s="19">
        <f>IF(C160="","",COUNTIF(CT160:CX160,"Yes"))</f>
        <v/>
      </c>
    </row>
    <row r="161">
      <c r="B161" s="18" t="n"/>
      <c r="F161" s="18" t="n"/>
      <c r="AC161" s="18" t="n"/>
      <c r="AF161" s="18" t="n"/>
      <c r="CZ161" s="19">
        <f>IF(C161="","",COUNTA(AG161,AJ161,AM161,AP161))</f>
        <v/>
      </c>
      <c r="DA161" s="19">
        <f>IF(C161="","",COUNTA(BK161,BM161,BO161,BQ161,BS161,BU161,BW161,BY161))</f>
        <v/>
      </c>
      <c r="DB161" s="19">
        <f>IF(C161="","",COUNTIF(AT161:BJ161,"Yes"))</f>
        <v/>
      </c>
      <c r="DC161" s="19">
        <f>IF(C161="","",COUNTIF(CT161:CX161,"Yes"))</f>
        <v/>
      </c>
    </row>
    <row r="162">
      <c r="B162" s="18" t="n"/>
      <c r="F162" s="18" t="n"/>
      <c r="AC162" s="18" t="n"/>
      <c r="AF162" s="18" t="n"/>
      <c r="CZ162" s="19">
        <f>IF(C162="","",COUNTA(AG162,AJ162,AM162,AP162))</f>
        <v/>
      </c>
      <c r="DA162" s="19">
        <f>IF(C162="","",COUNTA(BK162,BM162,BO162,BQ162,BS162,BU162,BW162,BY162))</f>
        <v/>
      </c>
      <c r="DB162" s="19">
        <f>IF(C162="","",COUNTIF(AT162:BJ162,"Yes"))</f>
        <v/>
      </c>
      <c r="DC162" s="19">
        <f>IF(C162="","",COUNTIF(CT162:CX162,"Yes"))</f>
        <v/>
      </c>
    </row>
    <row r="163">
      <c r="B163" s="18" t="n"/>
      <c r="F163" s="18" t="n"/>
      <c r="AC163" s="18" t="n"/>
      <c r="AF163" s="18" t="n"/>
      <c r="CZ163" s="19">
        <f>IF(C163="","",COUNTA(AG163,AJ163,AM163,AP163))</f>
        <v/>
      </c>
      <c r="DA163" s="19">
        <f>IF(C163="","",COUNTA(BK163,BM163,BO163,BQ163,BS163,BU163,BW163,BY163))</f>
        <v/>
      </c>
      <c r="DB163" s="19">
        <f>IF(C163="","",COUNTIF(AT163:BJ163,"Yes"))</f>
        <v/>
      </c>
      <c r="DC163" s="19">
        <f>IF(C163="","",COUNTIF(CT163:CX163,"Yes"))</f>
        <v/>
      </c>
    </row>
    <row r="164">
      <c r="B164" s="18" t="n"/>
      <c r="F164" s="18" t="n"/>
      <c r="AC164" s="18" t="n"/>
      <c r="AF164" s="18" t="n"/>
      <c r="CZ164" s="19">
        <f>IF(C164="","",COUNTA(AG164,AJ164,AM164,AP164))</f>
        <v/>
      </c>
      <c r="DA164" s="19">
        <f>IF(C164="","",COUNTA(BK164,BM164,BO164,BQ164,BS164,BU164,BW164,BY164))</f>
        <v/>
      </c>
      <c r="DB164" s="19">
        <f>IF(C164="","",COUNTIF(AT164:BJ164,"Yes"))</f>
        <v/>
      </c>
      <c r="DC164" s="19">
        <f>IF(C164="","",COUNTIF(CT164:CX164,"Yes"))</f>
        <v/>
      </c>
    </row>
    <row r="165">
      <c r="B165" s="18" t="n"/>
      <c r="F165" s="18" t="n"/>
      <c r="AC165" s="18" t="n"/>
      <c r="AF165" s="18" t="n"/>
      <c r="CZ165" s="19">
        <f>IF(C165="","",COUNTA(AG165,AJ165,AM165,AP165))</f>
        <v/>
      </c>
      <c r="DA165" s="19">
        <f>IF(C165="","",COUNTA(BK165,BM165,BO165,BQ165,BS165,BU165,BW165,BY165))</f>
        <v/>
      </c>
      <c r="DB165" s="19">
        <f>IF(C165="","",COUNTIF(AT165:BJ165,"Yes"))</f>
        <v/>
      </c>
      <c r="DC165" s="19">
        <f>IF(C165="","",COUNTIF(CT165:CX165,"Yes"))</f>
        <v/>
      </c>
    </row>
    <row r="166">
      <c r="B166" s="18" t="n"/>
      <c r="F166" s="18" t="n"/>
      <c r="AC166" s="18" t="n"/>
      <c r="AF166" s="18" t="n"/>
      <c r="CZ166" s="19">
        <f>IF(C166="","",COUNTA(AG166,AJ166,AM166,AP166))</f>
        <v/>
      </c>
      <c r="DA166" s="19">
        <f>IF(C166="","",COUNTA(BK166,BM166,BO166,BQ166,BS166,BU166,BW166,BY166))</f>
        <v/>
      </c>
      <c r="DB166" s="19">
        <f>IF(C166="","",COUNTIF(AT166:BJ166,"Yes"))</f>
        <v/>
      </c>
      <c r="DC166" s="19">
        <f>IF(C166="","",COUNTIF(CT166:CX166,"Yes"))</f>
        <v/>
      </c>
    </row>
    <row r="167">
      <c r="B167" s="18" t="n"/>
      <c r="F167" s="18" t="n"/>
      <c r="AC167" s="18" t="n"/>
      <c r="AF167" s="18" t="n"/>
      <c r="CZ167" s="19">
        <f>IF(C167="","",COUNTA(AG167,AJ167,AM167,AP167))</f>
        <v/>
      </c>
      <c r="DA167" s="19">
        <f>IF(C167="","",COUNTA(BK167,BM167,BO167,BQ167,BS167,BU167,BW167,BY167))</f>
        <v/>
      </c>
      <c r="DB167" s="19">
        <f>IF(C167="","",COUNTIF(AT167:BJ167,"Yes"))</f>
        <v/>
      </c>
      <c r="DC167" s="19">
        <f>IF(C167="","",COUNTIF(CT167:CX167,"Yes"))</f>
        <v/>
      </c>
    </row>
    <row r="168">
      <c r="B168" s="18" t="n"/>
      <c r="F168" s="18" t="n"/>
      <c r="AC168" s="18" t="n"/>
      <c r="AF168" s="18" t="n"/>
      <c r="CZ168" s="19">
        <f>IF(C168="","",COUNTA(AG168,AJ168,AM168,AP168))</f>
        <v/>
      </c>
      <c r="DA168" s="19">
        <f>IF(C168="","",COUNTA(BK168,BM168,BO168,BQ168,BS168,BU168,BW168,BY168))</f>
        <v/>
      </c>
      <c r="DB168" s="19">
        <f>IF(C168="","",COUNTIF(AT168:BJ168,"Yes"))</f>
        <v/>
      </c>
      <c r="DC168" s="19">
        <f>IF(C168="","",COUNTIF(CT168:CX168,"Yes"))</f>
        <v/>
      </c>
    </row>
    <row r="169">
      <c r="B169" s="18" t="n"/>
      <c r="F169" s="18" t="n"/>
      <c r="AC169" s="18" t="n"/>
      <c r="AF169" s="18" t="n"/>
      <c r="CZ169" s="19">
        <f>IF(C169="","",COUNTA(AG169,AJ169,AM169,AP169))</f>
        <v/>
      </c>
      <c r="DA169" s="19">
        <f>IF(C169="","",COUNTA(BK169,BM169,BO169,BQ169,BS169,BU169,BW169,BY169))</f>
        <v/>
      </c>
      <c r="DB169" s="19">
        <f>IF(C169="","",COUNTIF(AT169:BJ169,"Yes"))</f>
        <v/>
      </c>
      <c r="DC169" s="19">
        <f>IF(C169="","",COUNTIF(CT169:CX169,"Yes"))</f>
        <v/>
      </c>
    </row>
    <row r="170">
      <c r="B170" s="18" t="n"/>
      <c r="F170" s="18" t="n"/>
      <c r="AC170" s="18" t="n"/>
      <c r="AF170" s="18" t="n"/>
      <c r="CZ170" s="19">
        <f>IF(C170="","",COUNTA(AG170,AJ170,AM170,AP170))</f>
        <v/>
      </c>
      <c r="DA170" s="19">
        <f>IF(C170="","",COUNTA(BK170,BM170,BO170,BQ170,BS170,BU170,BW170,BY170))</f>
        <v/>
      </c>
      <c r="DB170" s="19">
        <f>IF(C170="","",COUNTIF(AT170:BJ170,"Yes"))</f>
        <v/>
      </c>
      <c r="DC170" s="19">
        <f>IF(C170="","",COUNTIF(CT170:CX170,"Yes"))</f>
        <v/>
      </c>
    </row>
    <row r="171">
      <c r="B171" s="18" t="n"/>
      <c r="F171" s="18" t="n"/>
      <c r="AC171" s="18" t="n"/>
      <c r="AF171" s="18" t="n"/>
      <c r="CZ171" s="19">
        <f>IF(C171="","",COUNTA(AG171,AJ171,AM171,AP171))</f>
        <v/>
      </c>
      <c r="DA171" s="19">
        <f>IF(C171="","",COUNTA(BK171,BM171,BO171,BQ171,BS171,BU171,BW171,BY171))</f>
        <v/>
      </c>
      <c r="DB171" s="19">
        <f>IF(C171="","",COUNTIF(AT171:BJ171,"Yes"))</f>
        <v/>
      </c>
      <c r="DC171" s="19">
        <f>IF(C171="","",COUNTIF(CT171:CX171,"Yes"))</f>
        <v/>
      </c>
    </row>
    <row r="172">
      <c r="B172" s="18" t="n"/>
      <c r="F172" s="18" t="n"/>
      <c r="AC172" s="18" t="n"/>
      <c r="AF172" s="18" t="n"/>
      <c r="CZ172" s="19">
        <f>IF(C172="","",COUNTA(AG172,AJ172,AM172,AP172))</f>
        <v/>
      </c>
      <c r="DA172" s="19">
        <f>IF(C172="","",COUNTA(BK172,BM172,BO172,BQ172,BS172,BU172,BW172,BY172))</f>
        <v/>
      </c>
      <c r="DB172" s="19">
        <f>IF(C172="","",COUNTIF(AT172:BJ172,"Yes"))</f>
        <v/>
      </c>
      <c r="DC172" s="19">
        <f>IF(C172="","",COUNTIF(CT172:CX172,"Yes"))</f>
        <v/>
      </c>
    </row>
    <row r="173">
      <c r="B173" s="18" t="n"/>
      <c r="F173" s="18" t="n"/>
      <c r="AC173" s="18" t="n"/>
      <c r="AF173" s="18" t="n"/>
      <c r="CZ173" s="19">
        <f>IF(C173="","",COUNTA(AG173,AJ173,AM173,AP173))</f>
        <v/>
      </c>
      <c r="DA173" s="19">
        <f>IF(C173="","",COUNTA(BK173,BM173,BO173,BQ173,BS173,BU173,BW173,BY173))</f>
        <v/>
      </c>
      <c r="DB173" s="19">
        <f>IF(C173="","",COUNTIF(AT173:BJ173,"Yes"))</f>
        <v/>
      </c>
      <c r="DC173" s="19">
        <f>IF(C173="","",COUNTIF(CT173:CX173,"Yes"))</f>
        <v/>
      </c>
    </row>
    <row r="174">
      <c r="B174" s="18" t="n"/>
      <c r="F174" s="18" t="n"/>
      <c r="AC174" s="18" t="n"/>
      <c r="AF174" s="18" t="n"/>
      <c r="CZ174" s="19">
        <f>IF(C174="","",COUNTA(AG174,AJ174,AM174,AP174))</f>
        <v/>
      </c>
      <c r="DA174" s="19">
        <f>IF(C174="","",COUNTA(BK174,BM174,BO174,BQ174,BS174,BU174,BW174,BY174))</f>
        <v/>
      </c>
      <c r="DB174" s="19">
        <f>IF(C174="","",COUNTIF(AT174:BJ174,"Yes"))</f>
        <v/>
      </c>
      <c r="DC174" s="19">
        <f>IF(C174="","",COUNTIF(CT174:CX174,"Yes"))</f>
        <v/>
      </c>
    </row>
    <row r="175">
      <c r="B175" s="18" t="n"/>
      <c r="F175" s="18" t="n"/>
      <c r="AC175" s="18" t="n"/>
      <c r="AF175" s="18" t="n"/>
      <c r="CZ175" s="19">
        <f>IF(C175="","",COUNTA(AG175,AJ175,AM175,AP175))</f>
        <v/>
      </c>
      <c r="DA175" s="19">
        <f>IF(C175="","",COUNTA(BK175,BM175,BO175,BQ175,BS175,BU175,BW175,BY175))</f>
        <v/>
      </c>
      <c r="DB175" s="19">
        <f>IF(C175="","",COUNTIF(AT175:BJ175,"Yes"))</f>
        <v/>
      </c>
      <c r="DC175" s="19">
        <f>IF(C175="","",COUNTIF(CT175:CX175,"Yes"))</f>
        <v/>
      </c>
    </row>
    <row r="176">
      <c r="B176" s="18" t="n"/>
      <c r="F176" s="18" t="n"/>
      <c r="AC176" s="18" t="n"/>
      <c r="AF176" s="18" t="n"/>
      <c r="CZ176" s="19">
        <f>IF(C176="","",COUNTA(AG176,AJ176,AM176,AP176))</f>
        <v/>
      </c>
      <c r="DA176" s="19">
        <f>IF(C176="","",COUNTA(BK176,BM176,BO176,BQ176,BS176,BU176,BW176,BY176))</f>
        <v/>
      </c>
      <c r="DB176" s="19">
        <f>IF(C176="","",COUNTIF(AT176:BJ176,"Yes"))</f>
        <v/>
      </c>
      <c r="DC176" s="19">
        <f>IF(C176="","",COUNTIF(CT176:CX176,"Yes"))</f>
        <v/>
      </c>
    </row>
    <row r="177">
      <c r="B177" s="18" t="n"/>
      <c r="F177" s="18" t="n"/>
      <c r="AC177" s="18" t="n"/>
      <c r="AF177" s="18" t="n"/>
      <c r="CZ177" s="19">
        <f>IF(C177="","",COUNTA(AG177,AJ177,AM177,AP177))</f>
        <v/>
      </c>
      <c r="DA177" s="19">
        <f>IF(C177="","",COUNTA(BK177,BM177,BO177,BQ177,BS177,BU177,BW177,BY177))</f>
        <v/>
      </c>
      <c r="DB177" s="19">
        <f>IF(C177="","",COUNTIF(AT177:BJ177,"Yes"))</f>
        <v/>
      </c>
      <c r="DC177" s="19">
        <f>IF(C177="","",COUNTIF(CT177:CX177,"Yes"))</f>
        <v/>
      </c>
    </row>
    <row r="178">
      <c r="B178" s="18" t="n"/>
      <c r="F178" s="18" t="n"/>
      <c r="AC178" s="18" t="n"/>
      <c r="AF178" s="18" t="n"/>
      <c r="CZ178" s="19">
        <f>IF(C178="","",COUNTA(AG178,AJ178,AM178,AP178))</f>
        <v/>
      </c>
      <c r="DA178" s="19">
        <f>IF(C178="","",COUNTA(BK178,BM178,BO178,BQ178,BS178,BU178,BW178,BY178))</f>
        <v/>
      </c>
      <c r="DB178" s="19">
        <f>IF(C178="","",COUNTIF(AT178:BJ178,"Yes"))</f>
        <v/>
      </c>
      <c r="DC178" s="19">
        <f>IF(C178="","",COUNTIF(CT178:CX178,"Yes"))</f>
        <v/>
      </c>
    </row>
    <row r="179">
      <c r="B179" s="18" t="n"/>
      <c r="F179" s="18" t="n"/>
      <c r="AC179" s="18" t="n"/>
      <c r="AF179" s="18" t="n"/>
      <c r="CZ179" s="19">
        <f>IF(C179="","",COUNTA(AG179,AJ179,AM179,AP179))</f>
        <v/>
      </c>
      <c r="DA179" s="19">
        <f>IF(C179="","",COUNTA(BK179,BM179,BO179,BQ179,BS179,BU179,BW179,BY179))</f>
        <v/>
      </c>
      <c r="DB179" s="19">
        <f>IF(C179="","",COUNTIF(AT179:BJ179,"Yes"))</f>
        <v/>
      </c>
      <c r="DC179" s="19">
        <f>IF(C179="","",COUNTIF(CT179:CX179,"Yes"))</f>
        <v/>
      </c>
    </row>
    <row r="180">
      <c r="B180" s="18" t="n"/>
      <c r="F180" s="18" t="n"/>
      <c r="AC180" s="18" t="n"/>
      <c r="AF180" s="18" t="n"/>
      <c r="CZ180" s="19">
        <f>IF(C180="","",COUNTA(AG180,AJ180,AM180,AP180))</f>
        <v/>
      </c>
      <c r="DA180" s="19">
        <f>IF(C180="","",COUNTA(BK180,BM180,BO180,BQ180,BS180,BU180,BW180,BY180))</f>
        <v/>
      </c>
      <c r="DB180" s="19">
        <f>IF(C180="","",COUNTIF(AT180:BJ180,"Yes"))</f>
        <v/>
      </c>
      <c r="DC180" s="19">
        <f>IF(C180="","",COUNTIF(CT180:CX180,"Yes"))</f>
        <v/>
      </c>
    </row>
    <row r="181">
      <c r="B181" s="18" t="n"/>
      <c r="F181" s="18" t="n"/>
      <c r="AC181" s="18" t="n"/>
      <c r="AF181" s="18" t="n"/>
      <c r="CZ181" s="19">
        <f>IF(C181="","",COUNTA(AG181,AJ181,AM181,AP181))</f>
        <v/>
      </c>
      <c r="DA181" s="19">
        <f>IF(C181="","",COUNTA(BK181,BM181,BO181,BQ181,BS181,BU181,BW181,BY181))</f>
        <v/>
      </c>
      <c r="DB181" s="19">
        <f>IF(C181="","",COUNTIF(AT181:BJ181,"Yes"))</f>
        <v/>
      </c>
      <c r="DC181" s="19">
        <f>IF(C181="","",COUNTIF(CT181:CX181,"Yes"))</f>
        <v/>
      </c>
    </row>
    <row r="182">
      <c r="B182" s="18" t="n"/>
      <c r="F182" s="18" t="n"/>
      <c r="AC182" s="18" t="n"/>
      <c r="AF182" s="18" t="n"/>
      <c r="CZ182" s="19">
        <f>IF(C182="","",COUNTA(AG182,AJ182,AM182,AP182))</f>
        <v/>
      </c>
      <c r="DA182" s="19">
        <f>IF(C182="","",COUNTA(BK182,BM182,BO182,BQ182,BS182,BU182,BW182,BY182))</f>
        <v/>
      </c>
      <c r="DB182" s="19">
        <f>IF(C182="","",COUNTIF(AT182:BJ182,"Yes"))</f>
        <v/>
      </c>
      <c r="DC182" s="19">
        <f>IF(C182="","",COUNTIF(CT182:CX182,"Yes"))</f>
        <v/>
      </c>
    </row>
    <row r="183">
      <c r="B183" s="18" t="n"/>
      <c r="F183" s="18" t="n"/>
      <c r="AC183" s="18" t="n"/>
      <c r="AF183" s="18" t="n"/>
      <c r="CZ183" s="19">
        <f>IF(C183="","",COUNTA(AG183,AJ183,AM183,AP183))</f>
        <v/>
      </c>
      <c r="DA183" s="19">
        <f>IF(C183="","",COUNTA(BK183,BM183,BO183,BQ183,BS183,BU183,BW183,BY183))</f>
        <v/>
      </c>
      <c r="DB183" s="19">
        <f>IF(C183="","",COUNTIF(AT183:BJ183,"Yes"))</f>
        <v/>
      </c>
      <c r="DC183" s="19">
        <f>IF(C183="","",COUNTIF(CT183:CX183,"Yes"))</f>
        <v/>
      </c>
    </row>
    <row r="184">
      <c r="B184" s="18" t="n"/>
      <c r="F184" s="18" t="n"/>
      <c r="AC184" s="18" t="n"/>
      <c r="AF184" s="18" t="n"/>
      <c r="CZ184" s="19">
        <f>IF(C184="","",COUNTA(AG184,AJ184,AM184,AP184))</f>
        <v/>
      </c>
      <c r="DA184" s="19">
        <f>IF(C184="","",COUNTA(BK184,BM184,BO184,BQ184,BS184,BU184,BW184,BY184))</f>
        <v/>
      </c>
      <c r="DB184" s="19">
        <f>IF(C184="","",COUNTIF(AT184:BJ184,"Yes"))</f>
        <v/>
      </c>
      <c r="DC184" s="19">
        <f>IF(C184="","",COUNTIF(CT184:CX184,"Yes"))</f>
        <v/>
      </c>
    </row>
    <row r="185">
      <c r="B185" s="18" t="n"/>
      <c r="F185" s="18" t="n"/>
      <c r="AC185" s="18" t="n"/>
      <c r="AF185" s="18" t="n"/>
      <c r="CZ185" s="19">
        <f>IF(C185="","",COUNTA(AG185,AJ185,AM185,AP185))</f>
        <v/>
      </c>
      <c r="DA185" s="19">
        <f>IF(C185="","",COUNTA(BK185,BM185,BO185,BQ185,BS185,BU185,BW185,BY185))</f>
        <v/>
      </c>
      <c r="DB185" s="19">
        <f>IF(C185="","",COUNTIF(AT185:BJ185,"Yes"))</f>
        <v/>
      </c>
      <c r="DC185" s="19">
        <f>IF(C185="","",COUNTIF(CT185:CX185,"Yes"))</f>
        <v/>
      </c>
    </row>
    <row r="186">
      <c r="B186" s="18" t="n"/>
      <c r="F186" s="18" t="n"/>
      <c r="AC186" s="18" t="n"/>
      <c r="AF186" s="18" t="n"/>
      <c r="CZ186" s="19">
        <f>IF(C186="","",COUNTA(AG186,AJ186,AM186,AP186))</f>
        <v/>
      </c>
      <c r="DA186" s="19">
        <f>IF(C186="","",COUNTA(BK186,BM186,BO186,BQ186,BS186,BU186,BW186,BY186))</f>
        <v/>
      </c>
      <c r="DB186" s="19">
        <f>IF(C186="","",COUNTIF(AT186:BJ186,"Yes"))</f>
        <v/>
      </c>
      <c r="DC186" s="19">
        <f>IF(C186="","",COUNTIF(CT186:CX186,"Yes"))</f>
        <v/>
      </c>
    </row>
    <row r="187">
      <c r="B187" s="18" t="n"/>
      <c r="F187" s="18" t="n"/>
      <c r="AC187" s="18" t="n"/>
      <c r="AF187" s="18" t="n"/>
      <c r="CZ187" s="19">
        <f>IF(C187="","",COUNTA(AG187,AJ187,AM187,AP187))</f>
        <v/>
      </c>
      <c r="DA187" s="19">
        <f>IF(C187="","",COUNTA(BK187,BM187,BO187,BQ187,BS187,BU187,BW187,BY187))</f>
        <v/>
      </c>
      <c r="DB187" s="19">
        <f>IF(C187="","",COUNTIF(AT187:BJ187,"Yes"))</f>
        <v/>
      </c>
      <c r="DC187" s="19">
        <f>IF(C187="","",COUNTIF(CT187:CX187,"Yes"))</f>
        <v/>
      </c>
    </row>
    <row r="188">
      <c r="B188" s="18" t="n"/>
      <c r="F188" s="18" t="n"/>
      <c r="AC188" s="18" t="n"/>
      <c r="AF188" s="18" t="n"/>
      <c r="CZ188" s="19">
        <f>IF(C188="","",COUNTA(AG188,AJ188,AM188,AP188))</f>
        <v/>
      </c>
      <c r="DA188" s="19">
        <f>IF(C188="","",COUNTA(BK188,BM188,BO188,BQ188,BS188,BU188,BW188,BY188))</f>
        <v/>
      </c>
      <c r="DB188" s="19">
        <f>IF(C188="","",COUNTIF(AT188:BJ188,"Yes"))</f>
        <v/>
      </c>
      <c r="DC188" s="19">
        <f>IF(C188="","",COUNTIF(CT188:CX188,"Yes"))</f>
        <v/>
      </c>
    </row>
    <row r="189">
      <c r="B189" s="18" t="n"/>
      <c r="F189" s="18" t="n"/>
      <c r="AC189" s="18" t="n"/>
      <c r="AF189" s="18" t="n"/>
      <c r="CZ189" s="19">
        <f>IF(C189="","",COUNTA(AG189,AJ189,AM189,AP189))</f>
        <v/>
      </c>
      <c r="DA189" s="19">
        <f>IF(C189="","",COUNTA(BK189,BM189,BO189,BQ189,BS189,BU189,BW189,BY189))</f>
        <v/>
      </c>
      <c r="DB189" s="19">
        <f>IF(C189="","",COUNTIF(AT189:BJ189,"Yes"))</f>
        <v/>
      </c>
      <c r="DC189" s="19">
        <f>IF(C189="","",COUNTIF(CT189:CX189,"Yes"))</f>
        <v/>
      </c>
    </row>
    <row r="190">
      <c r="B190" s="18" t="n"/>
      <c r="F190" s="18" t="n"/>
      <c r="AC190" s="18" t="n"/>
      <c r="AF190" s="18" t="n"/>
      <c r="CZ190" s="19">
        <f>IF(C190="","",COUNTA(AG190,AJ190,AM190,AP190))</f>
        <v/>
      </c>
      <c r="DA190" s="19">
        <f>IF(C190="","",COUNTA(BK190,BM190,BO190,BQ190,BS190,BU190,BW190,BY190))</f>
        <v/>
      </c>
      <c r="DB190" s="19">
        <f>IF(C190="","",COUNTIF(AT190:BJ190,"Yes"))</f>
        <v/>
      </c>
      <c r="DC190" s="19">
        <f>IF(C190="","",COUNTIF(CT190:CX190,"Yes"))</f>
        <v/>
      </c>
    </row>
    <row r="191">
      <c r="B191" s="18" t="n"/>
      <c r="F191" s="18" t="n"/>
      <c r="AC191" s="18" t="n"/>
      <c r="AF191" s="18" t="n"/>
      <c r="CZ191" s="19">
        <f>IF(C191="","",COUNTA(AG191,AJ191,AM191,AP191))</f>
        <v/>
      </c>
      <c r="DA191" s="19">
        <f>IF(C191="","",COUNTA(BK191,BM191,BO191,BQ191,BS191,BU191,BW191,BY191))</f>
        <v/>
      </c>
      <c r="DB191" s="19">
        <f>IF(C191="","",COUNTIF(AT191:BJ191,"Yes"))</f>
        <v/>
      </c>
      <c r="DC191" s="19">
        <f>IF(C191="","",COUNTIF(CT191:CX191,"Yes"))</f>
        <v/>
      </c>
    </row>
    <row r="192">
      <c r="B192" s="18" t="n"/>
      <c r="F192" s="18" t="n"/>
      <c r="AC192" s="18" t="n"/>
      <c r="AF192" s="18" t="n"/>
      <c r="CZ192" s="19">
        <f>IF(C192="","",COUNTA(AG192,AJ192,AM192,AP192))</f>
        <v/>
      </c>
      <c r="DA192" s="19">
        <f>IF(C192="","",COUNTA(BK192,BM192,BO192,BQ192,BS192,BU192,BW192,BY192))</f>
        <v/>
      </c>
      <c r="DB192" s="19">
        <f>IF(C192="","",COUNTIF(AT192:BJ192,"Yes"))</f>
        <v/>
      </c>
      <c r="DC192" s="19">
        <f>IF(C192="","",COUNTIF(CT192:CX192,"Yes"))</f>
        <v/>
      </c>
    </row>
    <row r="193">
      <c r="B193" s="18" t="n"/>
      <c r="F193" s="18" t="n"/>
      <c r="AC193" s="18" t="n"/>
      <c r="AF193" s="18" t="n"/>
      <c r="CZ193" s="19">
        <f>IF(C193="","",COUNTA(AG193,AJ193,AM193,AP193))</f>
        <v/>
      </c>
      <c r="DA193" s="19">
        <f>IF(C193="","",COUNTA(BK193,BM193,BO193,BQ193,BS193,BU193,BW193,BY193))</f>
        <v/>
      </c>
      <c r="DB193" s="19">
        <f>IF(C193="","",COUNTIF(AT193:BJ193,"Yes"))</f>
        <v/>
      </c>
      <c r="DC193" s="19">
        <f>IF(C193="","",COUNTIF(CT193:CX193,"Yes"))</f>
        <v/>
      </c>
    </row>
    <row r="194">
      <c r="B194" s="18" t="n"/>
      <c r="F194" s="18" t="n"/>
      <c r="AC194" s="18" t="n"/>
      <c r="AF194" s="18" t="n"/>
      <c r="CZ194" s="19">
        <f>IF(C194="","",COUNTA(AG194,AJ194,AM194,AP194))</f>
        <v/>
      </c>
      <c r="DA194" s="19">
        <f>IF(C194="","",COUNTA(BK194,BM194,BO194,BQ194,BS194,BU194,BW194,BY194))</f>
        <v/>
      </c>
      <c r="DB194" s="19">
        <f>IF(C194="","",COUNTIF(AT194:BJ194,"Yes"))</f>
        <v/>
      </c>
      <c r="DC194" s="19">
        <f>IF(C194="","",COUNTIF(CT194:CX194,"Yes"))</f>
        <v/>
      </c>
    </row>
    <row r="195">
      <c r="B195" s="18" t="n"/>
      <c r="F195" s="18" t="n"/>
      <c r="AC195" s="18" t="n"/>
      <c r="AF195" s="18" t="n"/>
      <c r="CZ195" s="19">
        <f>IF(C195="","",COUNTA(AG195,AJ195,AM195,AP195))</f>
        <v/>
      </c>
      <c r="DA195" s="19">
        <f>IF(C195="","",COUNTA(BK195,BM195,BO195,BQ195,BS195,BU195,BW195,BY195))</f>
        <v/>
      </c>
      <c r="DB195" s="19">
        <f>IF(C195="","",COUNTIF(AT195:BJ195,"Yes"))</f>
        <v/>
      </c>
      <c r="DC195" s="19">
        <f>IF(C195="","",COUNTIF(CT195:CX195,"Yes"))</f>
        <v/>
      </c>
    </row>
    <row r="196">
      <c r="B196" s="18" t="n"/>
      <c r="F196" s="18" t="n"/>
      <c r="AC196" s="18" t="n"/>
      <c r="AF196" s="18" t="n"/>
      <c r="CZ196" s="19">
        <f>IF(C196="","",COUNTA(AG196,AJ196,AM196,AP196))</f>
        <v/>
      </c>
      <c r="DA196" s="19">
        <f>IF(C196="","",COUNTA(BK196,BM196,BO196,BQ196,BS196,BU196,BW196,BY196))</f>
        <v/>
      </c>
      <c r="DB196" s="19">
        <f>IF(C196="","",COUNTIF(AT196:BJ196,"Yes"))</f>
        <v/>
      </c>
      <c r="DC196" s="19">
        <f>IF(C196="","",COUNTIF(CT196:CX196,"Yes"))</f>
        <v/>
      </c>
    </row>
    <row r="197">
      <c r="B197" s="18" t="n"/>
      <c r="F197" s="18" t="n"/>
      <c r="AC197" s="18" t="n"/>
      <c r="AF197" s="18" t="n"/>
      <c r="CZ197" s="19">
        <f>IF(C197="","",COUNTA(AG197,AJ197,AM197,AP197))</f>
        <v/>
      </c>
      <c r="DA197" s="19">
        <f>IF(C197="","",COUNTA(BK197,BM197,BO197,BQ197,BS197,BU197,BW197,BY197))</f>
        <v/>
      </c>
      <c r="DB197" s="19">
        <f>IF(C197="","",COUNTIF(AT197:BJ197,"Yes"))</f>
        <v/>
      </c>
      <c r="DC197" s="19">
        <f>IF(C197="","",COUNTIF(CT197:CX197,"Yes"))</f>
        <v/>
      </c>
    </row>
    <row r="198">
      <c r="B198" s="18" t="n"/>
      <c r="F198" s="18" t="n"/>
      <c r="AC198" s="18" t="n"/>
      <c r="AF198" s="18" t="n"/>
      <c r="CZ198" s="19">
        <f>IF(C198="","",COUNTA(AG198,AJ198,AM198,AP198))</f>
        <v/>
      </c>
      <c r="DA198" s="19">
        <f>IF(C198="","",COUNTA(BK198,BM198,BO198,BQ198,BS198,BU198,BW198,BY198))</f>
        <v/>
      </c>
      <c r="DB198" s="19">
        <f>IF(C198="","",COUNTIF(AT198:BJ198,"Yes"))</f>
        <v/>
      </c>
      <c r="DC198" s="19">
        <f>IF(C198="","",COUNTIF(CT198:CX198,"Yes"))</f>
        <v/>
      </c>
    </row>
    <row r="199">
      <c r="B199" s="18" t="n"/>
      <c r="F199" s="18" t="n"/>
      <c r="AC199" s="18" t="n"/>
      <c r="AF199" s="18" t="n"/>
      <c r="CZ199" s="19">
        <f>IF(C199="","",COUNTA(AG199,AJ199,AM199,AP199))</f>
        <v/>
      </c>
      <c r="DA199" s="19">
        <f>IF(C199="","",COUNTA(BK199,BM199,BO199,BQ199,BS199,BU199,BW199,BY199))</f>
        <v/>
      </c>
      <c r="DB199" s="19">
        <f>IF(C199="","",COUNTIF(AT199:BJ199,"Yes"))</f>
        <v/>
      </c>
      <c r="DC199" s="19">
        <f>IF(C199="","",COUNTIF(CT199:CX199,"Yes"))</f>
        <v/>
      </c>
    </row>
    <row r="200">
      <c r="B200" s="18" t="n"/>
      <c r="F200" s="18" t="n"/>
      <c r="AC200" s="18" t="n"/>
      <c r="AF200" s="18" t="n"/>
      <c r="CZ200" s="19">
        <f>IF(C200="","",COUNTA(AG200,AJ200,AM200,AP200))</f>
        <v/>
      </c>
      <c r="DA200" s="19">
        <f>IF(C200="","",COUNTA(BK200,BM200,BO200,BQ200,BS200,BU200,BW200,BY200))</f>
        <v/>
      </c>
      <c r="DB200" s="19">
        <f>IF(C200="","",COUNTIF(AT200:BJ200,"Yes"))</f>
        <v/>
      </c>
      <c r="DC200" s="19">
        <f>IF(C200="","",COUNTIF(CT200:CX200,"Yes"))</f>
        <v/>
      </c>
    </row>
    <row r="201">
      <c r="B201" s="18" t="n"/>
      <c r="F201" s="18" t="n"/>
      <c r="AC201" s="18" t="n"/>
      <c r="AF201" s="18" t="n"/>
      <c r="CZ201" s="19">
        <f>IF(C201="","",COUNTA(AG201,AJ201,AM201,AP201))</f>
        <v/>
      </c>
      <c r="DA201" s="19">
        <f>IF(C201="","",COUNTA(BK201,BM201,BO201,BQ201,BS201,BU201,BW201,BY201))</f>
        <v/>
      </c>
      <c r="DB201" s="19">
        <f>IF(C201="","",COUNTIF(AT201:BJ201,"Yes"))</f>
        <v/>
      </c>
      <c r="DC201" s="19">
        <f>IF(C201="","",COUNTIF(CT201:CX201,"Yes"))</f>
        <v/>
      </c>
    </row>
    <row r="202">
      <c r="B202" s="18" t="n"/>
      <c r="F202" s="18" t="n"/>
      <c r="AC202" s="18" t="n"/>
      <c r="AF202" s="18" t="n"/>
      <c r="CZ202" s="19">
        <f>IF(C202="","",COUNTA(AG202,AJ202,AM202,AP202))</f>
        <v/>
      </c>
      <c r="DA202" s="19">
        <f>IF(C202="","",COUNTA(BK202,BM202,BO202,BQ202,BS202,BU202,BW202,BY202))</f>
        <v/>
      </c>
      <c r="DB202" s="19">
        <f>IF(C202="","",COUNTIF(AT202:BJ202,"Yes"))</f>
        <v/>
      </c>
      <c r="DC202" s="19">
        <f>IF(C202="","",COUNTIF(CT202:CX202,"Yes"))</f>
        <v/>
      </c>
    </row>
    <row r="203">
      <c r="B203" s="18" t="n"/>
      <c r="F203" s="18" t="n"/>
      <c r="AC203" s="18" t="n"/>
      <c r="AF203" s="18" t="n"/>
      <c r="CZ203" s="19">
        <f>IF(C203="","",COUNTA(AG203,AJ203,AM203,AP203))</f>
        <v/>
      </c>
      <c r="DA203" s="19">
        <f>IF(C203="","",COUNTA(BK203,BM203,BO203,BQ203,BS203,BU203,BW203,BY203))</f>
        <v/>
      </c>
      <c r="DB203" s="19">
        <f>IF(C203="","",COUNTIF(AT203:BJ203,"Yes"))</f>
        <v/>
      </c>
      <c r="DC203" s="19">
        <f>IF(C203="","",COUNTIF(CT203:CX203,"Yes"))</f>
        <v/>
      </c>
    </row>
    <row r="204">
      <c r="B204" s="18" t="n"/>
      <c r="F204" s="18" t="n"/>
      <c r="AC204" s="18" t="n"/>
      <c r="AF204" s="18" t="n"/>
      <c r="CZ204" s="19">
        <f>IF(C204="","",COUNTA(AG204,AJ204,AM204,AP204))</f>
        <v/>
      </c>
      <c r="DA204" s="19">
        <f>IF(C204="","",COUNTA(BK204,BM204,BO204,BQ204,BS204,BU204,BW204,BY204))</f>
        <v/>
      </c>
      <c r="DB204" s="19">
        <f>IF(C204="","",COUNTIF(AT204:BJ204,"Yes"))</f>
        <v/>
      </c>
      <c r="DC204" s="19">
        <f>IF(C204="","",COUNTIF(CT204:CX204,"Yes"))</f>
        <v/>
      </c>
    </row>
    <row r="205">
      <c r="B205" s="18" t="n"/>
      <c r="F205" s="18" t="n"/>
      <c r="AC205" s="18" t="n"/>
      <c r="AF205" s="18" t="n"/>
      <c r="CZ205" s="19">
        <f>IF(C205="","",COUNTA(AG205,AJ205,AM205,AP205))</f>
        <v/>
      </c>
      <c r="DA205" s="19">
        <f>IF(C205="","",COUNTA(BK205,BM205,BO205,BQ205,BS205,BU205,BW205,BY205))</f>
        <v/>
      </c>
      <c r="DB205" s="19">
        <f>IF(C205="","",COUNTIF(AT205:BJ205,"Yes"))</f>
        <v/>
      </c>
      <c r="DC205" s="19">
        <f>IF(C205="","",COUNTIF(CT205:CX205,"Yes"))</f>
        <v/>
      </c>
    </row>
    <row r="206">
      <c r="B206" s="18" t="n"/>
      <c r="F206" s="18" t="n"/>
      <c r="AC206" s="18" t="n"/>
      <c r="AF206" s="18" t="n"/>
      <c r="CZ206" s="19">
        <f>IF(C206="","",COUNTA(AG206,AJ206,AM206,AP206))</f>
        <v/>
      </c>
      <c r="DA206" s="19">
        <f>IF(C206="","",COUNTA(BK206,BM206,BO206,BQ206,BS206,BU206,BW206,BY206))</f>
        <v/>
      </c>
      <c r="DB206" s="19">
        <f>IF(C206="","",COUNTIF(AT206:BJ206,"Yes"))</f>
        <v/>
      </c>
      <c r="DC206" s="19">
        <f>IF(C206="","",COUNTIF(CT206:CX206,"Yes"))</f>
        <v/>
      </c>
    </row>
    <row r="207">
      <c r="B207" s="18" t="n"/>
      <c r="F207" s="18" t="n"/>
      <c r="AC207" s="18" t="n"/>
      <c r="AF207" s="18" t="n"/>
      <c r="CZ207" s="19">
        <f>IF(C207="","",COUNTA(AG207,AJ207,AM207,AP207))</f>
        <v/>
      </c>
      <c r="DA207" s="19">
        <f>IF(C207="","",COUNTA(BK207,BM207,BO207,BQ207,BS207,BU207,BW207,BY207))</f>
        <v/>
      </c>
      <c r="DB207" s="19">
        <f>IF(C207="","",COUNTIF(AT207:BJ207,"Yes"))</f>
        <v/>
      </c>
      <c r="DC207" s="19">
        <f>IF(C207="","",COUNTIF(CT207:CX207,"Yes"))</f>
        <v/>
      </c>
    </row>
    <row r="208">
      <c r="B208" s="18" t="n"/>
      <c r="F208" s="18" t="n"/>
      <c r="AC208" s="18" t="n"/>
      <c r="AF208" s="18" t="n"/>
      <c r="CZ208" s="19">
        <f>IF(C208="","",COUNTA(AG208,AJ208,AM208,AP208))</f>
        <v/>
      </c>
      <c r="DA208" s="19">
        <f>IF(C208="","",COUNTA(BK208,BM208,BO208,BQ208,BS208,BU208,BW208,BY208))</f>
        <v/>
      </c>
      <c r="DB208" s="19">
        <f>IF(C208="","",COUNTIF(AT208:BJ208,"Yes"))</f>
        <v/>
      </c>
      <c r="DC208" s="19">
        <f>IF(C208="","",COUNTIF(CT208:CX208,"Yes"))</f>
        <v/>
      </c>
    </row>
    <row r="209">
      <c r="B209" s="18" t="n"/>
      <c r="F209" s="18" t="n"/>
      <c r="AC209" s="18" t="n"/>
      <c r="AF209" s="18" t="n"/>
      <c r="CZ209" s="19">
        <f>IF(C209="","",COUNTA(AG209,AJ209,AM209,AP209))</f>
        <v/>
      </c>
      <c r="DA209" s="19">
        <f>IF(C209="","",COUNTA(BK209,BM209,BO209,BQ209,BS209,BU209,BW209,BY209))</f>
        <v/>
      </c>
      <c r="DB209" s="19">
        <f>IF(C209="","",COUNTIF(AT209:BJ209,"Yes"))</f>
        <v/>
      </c>
      <c r="DC209" s="19">
        <f>IF(C209="","",COUNTIF(CT209:CX209,"Yes"))</f>
        <v/>
      </c>
    </row>
    <row r="210">
      <c r="B210" s="18" t="n"/>
      <c r="F210" s="18" t="n"/>
      <c r="AC210" s="18" t="n"/>
      <c r="AF210" s="18" t="n"/>
      <c r="CZ210" s="19">
        <f>IF(C210="","",COUNTA(AG210,AJ210,AM210,AP210))</f>
        <v/>
      </c>
      <c r="DA210" s="19">
        <f>IF(C210="","",COUNTA(BK210,BM210,BO210,BQ210,BS210,BU210,BW210,BY210))</f>
        <v/>
      </c>
      <c r="DB210" s="19">
        <f>IF(C210="","",COUNTIF(AT210:BJ210,"Yes"))</f>
        <v/>
      </c>
      <c r="DC210" s="19">
        <f>IF(C210="","",COUNTIF(CT210:CX210,"Yes"))</f>
        <v/>
      </c>
    </row>
    <row r="211">
      <c r="B211" s="18" t="n"/>
      <c r="F211" s="18" t="n"/>
      <c r="AC211" s="18" t="n"/>
      <c r="AF211" s="18" t="n"/>
      <c r="CZ211" s="19">
        <f>IF(C211="","",COUNTA(AG211,AJ211,AM211,AP211))</f>
        <v/>
      </c>
      <c r="DA211" s="19">
        <f>IF(C211="","",COUNTA(BK211,BM211,BO211,BQ211,BS211,BU211,BW211,BY211))</f>
        <v/>
      </c>
      <c r="DB211" s="19">
        <f>IF(C211="","",COUNTIF(AT211:BJ211,"Yes"))</f>
        <v/>
      </c>
      <c r="DC211" s="19">
        <f>IF(C211="","",COUNTIF(CT211:CX211,"Yes"))</f>
        <v/>
      </c>
    </row>
    <row r="212">
      <c r="B212" s="18" t="n"/>
      <c r="F212" s="18" t="n"/>
      <c r="AC212" s="18" t="n"/>
      <c r="AF212" s="18" t="n"/>
      <c r="CZ212" s="19">
        <f>IF(C212="","",COUNTA(AG212,AJ212,AM212,AP212))</f>
        <v/>
      </c>
      <c r="DA212" s="19">
        <f>IF(C212="","",COUNTA(BK212,BM212,BO212,BQ212,BS212,BU212,BW212,BY212))</f>
        <v/>
      </c>
      <c r="DB212" s="19">
        <f>IF(C212="","",COUNTIF(AT212:BJ212,"Yes"))</f>
        <v/>
      </c>
      <c r="DC212" s="19">
        <f>IF(C212="","",COUNTIF(CT212:CX212,"Yes"))</f>
        <v/>
      </c>
    </row>
    <row r="213">
      <c r="B213" s="18" t="n"/>
      <c r="F213" s="18" t="n"/>
      <c r="AC213" s="18" t="n"/>
      <c r="AF213" s="18" t="n"/>
      <c r="CZ213" s="19">
        <f>IF(C213="","",COUNTA(AG213,AJ213,AM213,AP213))</f>
        <v/>
      </c>
      <c r="DA213" s="19">
        <f>IF(C213="","",COUNTA(BK213,BM213,BO213,BQ213,BS213,BU213,BW213,BY213))</f>
        <v/>
      </c>
      <c r="DB213" s="19">
        <f>IF(C213="","",COUNTIF(AT213:BJ213,"Yes"))</f>
        <v/>
      </c>
      <c r="DC213" s="19">
        <f>IF(C213="","",COUNTIF(CT213:CX213,"Yes"))</f>
        <v/>
      </c>
    </row>
    <row r="214">
      <c r="B214" s="18" t="n"/>
      <c r="F214" s="18" t="n"/>
      <c r="AC214" s="18" t="n"/>
      <c r="AF214" s="18" t="n"/>
      <c r="CZ214" s="19">
        <f>IF(C214="","",COUNTA(AG214,AJ214,AM214,AP214))</f>
        <v/>
      </c>
      <c r="DA214" s="19">
        <f>IF(C214="","",COUNTA(BK214,BM214,BO214,BQ214,BS214,BU214,BW214,BY214))</f>
        <v/>
      </c>
      <c r="DB214" s="19">
        <f>IF(C214="","",COUNTIF(AT214:BJ214,"Yes"))</f>
        <v/>
      </c>
      <c r="DC214" s="19">
        <f>IF(C214="","",COUNTIF(CT214:CX214,"Yes"))</f>
        <v/>
      </c>
    </row>
    <row r="215">
      <c r="B215" s="18" t="n"/>
      <c r="F215" s="18" t="n"/>
      <c r="AC215" s="18" t="n"/>
      <c r="AF215" s="18" t="n"/>
      <c r="CZ215" s="19">
        <f>IF(C215="","",COUNTA(AG215,AJ215,AM215,AP215))</f>
        <v/>
      </c>
      <c r="DA215" s="19">
        <f>IF(C215="","",COUNTA(BK215,BM215,BO215,BQ215,BS215,BU215,BW215,BY215))</f>
        <v/>
      </c>
      <c r="DB215" s="19">
        <f>IF(C215="","",COUNTIF(AT215:BJ215,"Yes"))</f>
        <v/>
      </c>
      <c r="DC215" s="19">
        <f>IF(C215="","",COUNTIF(CT215:CX215,"Yes"))</f>
        <v/>
      </c>
    </row>
    <row r="216">
      <c r="B216" s="18" t="n"/>
      <c r="F216" s="18" t="n"/>
      <c r="AC216" s="18" t="n"/>
      <c r="AF216" s="18" t="n"/>
      <c r="CZ216" s="19">
        <f>IF(C216="","",COUNTA(AG216,AJ216,AM216,AP216))</f>
        <v/>
      </c>
      <c r="DA216" s="19">
        <f>IF(C216="","",COUNTA(BK216,BM216,BO216,BQ216,BS216,BU216,BW216,BY216))</f>
        <v/>
      </c>
      <c r="DB216" s="19">
        <f>IF(C216="","",COUNTIF(AT216:BJ216,"Yes"))</f>
        <v/>
      </c>
      <c r="DC216" s="19">
        <f>IF(C216="","",COUNTIF(CT216:CX216,"Yes"))</f>
        <v/>
      </c>
    </row>
    <row r="217">
      <c r="B217" s="18" t="n"/>
      <c r="F217" s="18" t="n"/>
      <c r="AC217" s="18" t="n"/>
      <c r="AF217" s="18" t="n"/>
      <c r="CZ217" s="19">
        <f>IF(C217="","",COUNTA(AG217,AJ217,AM217,AP217))</f>
        <v/>
      </c>
      <c r="DA217" s="19">
        <f>IF(C217="","",COUNTA(BK217,BM217,BO217,BQ217,BS217,BU217,BW217,BY217))</f>
        <v/>
      </c>
      <c r="DB217" s="19">
        <f>IF(C217="","",COUNTIF(AT217:BJ217,"Yes"))</f>
        <v/>
      </c>
      <c r="DC217" s="19">
        <f>IF(C217="","",COUNTIF(CT217:CX217,"Yes"))</f>
        <v/>
      </c>
    </row>
    <row r="218">
      <c r="B218" s="18" t="n"/>
      <c r="F218" s="18" t="n"/>
      <c r="AC218" s="18" t="n"/>
      <c r="AF218" s="18" t="n"/>
      <c r="CZ218" s="19">
        <f>IF(C218="","",COUNTA(AG218,AJ218,AM218,AP218))</f>
        <v/>
      </c>
      <c r="DA218" s="19">
        <f>IF(C218="","",COUNTA(BK218,BM218,BO218,BQ218,BS218,BU218,BW218,BY218))</f>
        <v/>
      </c>
      <c r="DB218" s="19">
        <f>IF(C218="","",COUNTIF(AT218:BJ218,"Yes"))</f>
        <v/>
      </c>
      <c r="DC218" s="19">
        <f>IF(C218="","",COUNTIF(CT218:CX218,"Yes"))</f>
        <v/>
      </c>
    </row>
    <row r="219">
      <c r="B219" s="18" t="n"/>
      <c r="F219" s="18" t="n"/>
      <c r="AC219" s="18" t="n"/>
      <c r="AF219" s="18" t="n"/>
      <c r="CZ219" s="19">
        <f>IF(C219="","",COUNTA(AG219,AJ219,AM219,AP219))</f>
        <v/>
      </c>
      <c r="DA219" s="19">
        <f>IF(C219="","",COUNTA(BK219,BM219,BO219,BQ219,BS219,BU219,BW219,BY219))</f>
        <v/>
      </c>
      <c r="DB219" s="19">
        <f>IF(C219="","",COUNTIF(AT219:BJ219,"Yes"))</f>
        <v/>
      </c>
      <c r="DC219" s="19">
        <f>IF(C219="","",COUNTIF(CT219:CX219,"Yes"))</f>
        <v/>
      </c>
    </row>
    <row r="220">
      <c r="B220" s="18" t="n"/>
      <c r="F220" s="18" t="n"/>
      <c r="AC220" s="18" t="n"/>
      <c r="AF220" s="18" t="n"/>
      <c r="CZ220" s="19">
        <f>IF(C220="","",COUNTA(AG220,AJ220,AM220,AP220))</f>
        <v/>
      </c>
      <c r="DA220" s="19">
        <f>IF(C220="","",COUNTA(BK220,BM220,BO220,BQ220,BS220,BU220,BW220,BY220))</f>
        <v/>
      </c>
      <c r="DB220" s="19">
        <f>IF(C220="","",COUNTIF(AT220:BJ220,"Yes"))</f>
        <v/>
      </c>
      <c r="DC220" s="19">
        <f>IF(C220="","",COUNTIF(CT220:CX220,"Yes"))</f>
        <v/>
      </c>
    </row>
    <row r="221">
      <c r="B221" s="18" t="n"/>
      <c r="F221" s="18" t="n"/>
      <c r="AC221" s="18" t="n"/>
      <c r="AF221" s="18" t="n"/>
      <c r="CZ221" s="19">
        <f>IF(C221="","",COUNTA(AG221,AJ221,AM221,AP221))</f>
        <v/>
      </c>
      <c r="DA221" s="19">
        <f>IF(C221="","",COUNTA(BK221,BM221,BO221,BQ221,BS221,BU221,BW221,BY221))</f>
        <v/>
      </c>
      <c r="DB221" s="19">
        <f>IF(C221="","",COUNTIF(AT221:BJ221,"Yes"))</f>
        <v/>
      </c>
      <c r="DC221" s="19">
        <f>IF(C221="","",COUNTIF(CT221:CX221,"Yes"))</f>
        <v/>
      </c>
    </row>
    <row r="222">
      <c r="B222" s="18" t="n"/>
      <c r="F222" s="18" t="n"/>
      <c r="AC222" s="18" t="n"/>
      <c r="AF222" s="18" t="n"/>
      <c r="CZ222" s="19">
        <f>IF(C222="","",COUNTA(AG222,AJ222,AM222,AP222))</f>
        <v/>
      </c>
      <c r="DA222" s="19">
        <f>IF(C222="","",COUNTA(BK222,BM222,BO222,BQ222,BS222,BU222,BW222,BY222))</f>
        <v/>
      </c>
      <c r="DB222" s="19">
        <f>IF(C222="","",COUNTIF(AT222:BJ222,"Yes"))</f>
        <v/>
      </c>
      <c r="DC222" s="19">
        <f>IF(C222="","",COUNTIF(CT222:CX222,"Yes"))</f>
        <v/>
      </c>
    </row>
    <row r="223">
      <c r="B223" s="18" t="n"/>
      <c r="F223" s="18" t="n"/>
      <c r="AC223" s="18" t="n"/>
      <c r="AF223" s="18" t="n"/>
      <c r="CZ223" s="19">
        <f>IF(C223="","",COUNTA(AG223,AJ223,AM223,AP223))</f>
        <v/>
      </c>
      <c r="DA223" s="19">
        <f>IF(C223="","",COUNTA(BK223,BM223,BO223,BQ223,BS223,BU223,BW223,BY223))</f>
        <v/>
      </c>
      <c r="DB223" s="19">
        <f>IF(C223="","",COUNTIF(AT223:BJ223,"Yes"))</f>
        <v/>
      </c>
      <c r="DC223" s="19">
        <f>IF(C223="","",COUNTIF(CT223:CX223,"Yes"))</f>
        <v/>
      </c>
    </row>
    <row r="224">
      <c r="B224" s="18" t="n"/>
      <c r="F224" s="18" t="n"/>
      <c r="AC224" s="18" t="n"/>
      <c r="AF224" s="18" t="n"/>
      <c r="CZ224" s="19">
        <f>IF(C224="","",COUNTA(AG224,AJ224,AM224,AP224))</f>
        <v/>
      </c>
      <c r="DA224" s="19">
        <f>IF(C224="","",COUNTA(BK224,BM224,BO224,BQ224,BS224,BU224,BW224,BY224))</f>
        <v/>
      </c>
      <c r="DB224" s="19">
        <f>IF(C224="","",COUNTIF(AT224:BJ224,"Yes"))</f>
        <v/>
      </c>
      <c r="DC224" s="19">
        <f>IF(C224="","",COUNTIF(CT224:CX224,"Yes"))</f>
        <v/>
      </c>
    </row>
    <row r="225">
      <c r="B225" s="18" t="n"/>
      <c r="F225" s="18" t="n"/>
      <c r="AC225" s="18" t="n"/>
      <c r="AF225" s="18" t="n"/>
      <c r="CZ225" s="19">
        <f>IF(C225="","",COUNTA(AG225,AJ225,AM225,AP225))</f>
        <v/>
      </c>
      <c r="DA225" s="19">
        <f>IF(C225="","",COUNTA(BK225,BM225,BO225,BQ225,BS225,BU225,BW225,BY225))</f>
        <v/>
      </c>
      <c r="DB225" s="19">
        <f>IF(C225="","",COUNTIF(AT225:BJ225,"Yes"))</f>
        <v/>
      </c>
      <c r="DC225" s="19">
        <f>IF(C225="","",COUNTIF(CT225:CX225,"Yes"))</f>
        <v/>
      </c>
    </row>
    <row r="226">
      <c r="B226" s="18" t="n"/>
      <c r="F226" s="18" t="n"/>
      <c r="AC226" s="18" t="n"/>
      <c r="AF226" s="18" t="n"/>
      <c r="CZ226" s="19">
        <f>IF(C226="","",COUNTA(AG226,AJ226,AM226,AP226))</f>
        <v/>
      </c>
      <c r="DA226" s="19">
        <f>IF(C226="","",COUNTA(BK226,BM226,BO226,BQ226,BS226,BU226,BW226,BY226))</f>
        <v/>
      </c>
      <c r="DB226" s="19">
        <f>IF(C226="","",COUNTIF(AT226:BJ226,"Yes"))</f>
        <v/>
      </c>
      <c r="DC226" s="19">
        <f>IF(C226="","",COUNTIF(CT226:CX226,"Yes"))</f>
        <v/>
      </c>
    </row>
    <row r="227">
      <c r="B227" s="18" t="n"/>
      <c r="F227" s="18" t="n"/>
      <c r="AC227" s="18" t="n"/>
      <c r="AF227" s="18" t="n"/>
      <c r="CZ227" s="19">
        <f>IF(C227="","",COUNTA(AG227,AJ227,AM227,AP227))</f>
        <v/>
      </c>
      <c r="DA227" s="19">
        <f>IF(C227="","",COUNTA(BK227,BM227,BO227,BQ227,BS227,BU227,BW227,BY227))</f>
        <v/>
      </c>
      <c r="DB227" s="19">
        <f>IF(C227="","",COUNTIF(AT227:BJ227,"Yes"))</f>
        <v/>
      </c>
      <c r="DC227" s="19">
        <f>IF(C227="","",COUNTIF(CT227:CX227,"Yes"))</f>
        <v/>
      </c>
    </row>
    <row r="228">
      <c r="B228" s="18" t="n"/>
      <c r="F228" s="18" t="n"/>
      <c r="AC228" s="18" t="n"/>
      <c r="AF228" s="18" t="n"/>
      <c r="CZ228" s="19">
        <f>IF(C228="","",COUNTA(AG228,AJ228,AM228,AP228))</f>
        <v/>
      </c>
      <c r="DA228" s="19">
        <f>IF(C228="","",COUNTA(BK228,BM228,BO228,BQ228,BS228,BU228,BW228,BY228))</f>
        <v/>
      </c>
      <c r="DB228" s="19">
        <f>IF(C228="","",COUNTIF(AT228:BJ228,"Yes"))</f>
        <v/>
      </c>
      <c r="DC228" s="19">
        <f>IF(C228="","",COUNTIF(CT228:CX228,"Yes"))</f>
        <v/>
      </c>
    </row>
    <row r="229">
      <c r="B229" s="18" t="n"/>
      <c r="F229" s="18" t="n"/>
      <c r="AC229" s="18" t="n"/>
      <c r="AF229" s="18" t="n"/>
      <c r="CZ229" s="19">
        <f>IF(C229="","",COUNTA(AG229,AJ229,AM229,AP229))</f>
        <v/>
      </c>
      <c r="DA229" s="19">
        <f>IF(C229="","",COUNTA(BK229,BM229,BO229,BQ229,BS229,BU229,BW229,BY229))</f>
        <v/>
      </c>
      <c r="DB229" s="19">
        <f>IF(C229="","",COUNTIF(AT229:BJ229,"Yes"))</f>
        <v/>
      </c>
      <c r="DC229" s="19">
        <f>IF(C229="","",COUNTIF(CT229:CX229,"Yes"))</f>
        <v/>
      </c>
    </row>
    <row r="230">
      <c r="B230" s="18" t="n"/>
      <c r="F230" s="18" t="n"/>
      <c r="AC230" s="18" t="n"/>
      <c r="AF230" s="18" t="n"/>
      <c r="CZ230" s="19">
        <f>IF(C230="","",COUNTA(AG230,AJ230,AM230,AP230))</f>
        <v/>
      </c>
      <c r="DA230" s="19">
        <f>IF(C230="","",COUNTA(BK230,BM230,BO230,BQ230,BS230,BU230,BW230,BY230))</f>
        <v/>
      </c>
      <c r="DB230" s="19">
        <f>IF(C230="","",COUNTIF(AT230:BJ230,"Yes"))</f>
        <v/>
      </c>
      <c r="DC230" s="19">
        <f>IF(C230="","",COUNTIF(CT230:CX230,"Yes"))</f>
        <v/>
      </c>
    </row>
    <row r="231">
      <c r="B231" s="18" t="n"/>
      <c r="F231" s="18" t="n"/>
      <c r="AC231" s="18" t="n"/>
      <c r="AF231" s="18" t="n"/>
      <c r="CZ231" s="19">
        <f>IF(C231="","",COUNTA(AG231,AJ231,AM231,AP231))</f>
        <v/>
      </c>
      <c r="DA231" s="19">
        <f>IF(C231="","",COUNTA(BK231,BM231,BO231,BQ231,BS231,BU231,BW231,BY231))</f>
        <v/>
      </c>
      <c r="DB231" s="19">
        <f>IF(C231="","",COUNTIF(AT231:BJ231,"Yes"))</f>
        <v/>
      </c>
      <c r="DC231" s="19">
        <f>IF(C231="","",COUNTIF(CT231:CX231,"Yes"))</f>
        <v/>
      </c>
    </row>
    <row r="232">
      <c r="B232" s="18" t="n"/>
      <c r="F232" s="18" t="n"/>
      <c r="AC232" s="18" t="n"/>
      <c r="AF232" s="18" t="n"/>
      <c r="CZ232" s="19">
        <f>IF(C232="","",COUNTA(AG232,AJ232,AM232,AP232))</f>
        <v/>
      </c>
      <c r="DA232" s="19">
        <f>IF(C232="","",COUNTA(BK232,BM232,BO232,BQ232,BS232,BU232,BW232,BY232))</f>
        <v/>
      </c>
      <c r="DB232" s="19">
        <f>IF(C232="","",COUNTIF(AT232:BJ232,"Yes"))</f>
        <v/>
      </c>
      <c r="DC232" s="19">
        <f>IF(C232="","",COUNTIF(CT232:CX232,"Yes"))</f>
        <v/>
      </c>
    </row>
    <row r="233">
      <c r="B233" s="18" t="n"/>
      <c r="F233" s="18" t="n"/>
      <c r="AC233" s="18" t="n"/>
      <c r="AF233" s="18" t="n"/>
      <c r="CZ233" s="19">
        <f>IF(C233="","",COUNTA(AG233,AJ233,AM233,AP233))</f>
        <v/>
      </c>
      <c r="DA233" s="19">
        <f>IF(C233="","",COUNTA(BK233,BM233,BO233,BQ233,BS233,BU233,BW233,BY233))</f>
        <v/>
      </c>
      <c r="DB233" s="19">
        <f>IF(C233="","",COUNTIF(AT233:BJ233,"Yes"))</f>
        <v/>
      </c>
      <c r="DC233" s="19">
        <f>IF(C233="","",COUNTIF(CT233:CX233,"Yes"))</f>
        <v/>
      </c>
    </row>
    <row r="234">
      <c r="B234" s="18" t="n"/>
      <c r="F234" s="18" t="n"/>
      <c r="AC234" s="18" t="n"/>
      <c r="AF234" s="18" t="n"/>
      <c r="CZ234" s="19">
        <f>IF(C234="","",COUNTA(AG234,AJ234,AM234,AP234))</f>
        <v/>
      </c>
      <c r="DA234" s="19">
        <f>IF(C234="","",COUNTA(BK234,BM234,BO234,BQ234,BS234,BU234,BW234,BY234))</f>
        <v/>
      </c>
      <c r="DB234" s="19">
        <f>IF(C234="","",COUNTIF(AT234:BJ234,"Yes"))</f>
        <v/>
      </c>
      <c r="DC234" s="19">
        <f>IF(C234="","",COUNTIF(CT234:CX234,"Yes"))</f>
        <v/>
      </c>
    </row>
    <row r="235">
      <c r="B235" s="18" t="n"/>
      <c r="F235" s="18" t="n"/>
      <c r="AC235" s="18" t="n"/>
      <c r="AF235" s="18" t="n"/>
      <c r="CZ235" s="19">
        <f>IF(C235="","",COUNTA(AG235,AJ235,AM235,AP235))</f>
        <v/>
      </c>
      <c r="DA235" s="19">
        <f>IF(C235="","",COUNTA(BK235,BM235,BO235,BQ235,BS235,BU235,BW235,BY235))</f>
        <v/>
      </c>
      <c r="DB235" s="19">
        <f>IF(C235="","",COUNTIF(AT235:BJ235,"Yes"))</f>
        <v/>
      </c>
      <c r="DC235" s="19">
        <f>IF(C235="","",COUNTIF(CT235:CX235,"Yes"))</f>
        <v/>
      </c>
    </row>
    <row r="236">
      <c r="B236" s="18" t="n"/>
      <c r="F236" s="18" t="n"/>
      <c r="AC236" s="18" t="n"/>
      <c r="AF236" s="18" t="n"/>
      <c r="CZ236" s="19">
        <f>IF(C236="","",COUNTA(AG236,AJ236,AM236,AP236))</f>
        <v/>
      </c>
      <c r="DA236" s="19">
        <f>IF(C236="","",COUNTA(BK236,BM236,BO236,BQ236,BS236,BU236,BW236,BY236))</f>
        <v/>
      </c>
      <c r="DB236" s="19">
        <f>IF(C236="","",COUNTIF(AT236:BJ236,"Yes"))</f>
        <v/>
      </c>
      <c r="DC236" s="19">
        <f>IF(C236="","",COUNTIF(CT236:CX236,"Yes"))</f>
        <v/>
      </c>
    </row>
    <row r="237">
      <c r="B237" s="18" t="n"/>
      <c r="F237" s="18" t="n"/>
      <c r="AC237" s="18" t="n"/>
      <c r="AF237" s="18" t="n"/>
      <c r="CZ237" s="19">
        <f>IF(C237="","",COUNTA(AG237,AJ237,AM237,AP237))</f>
        <v/>
      </c>
      <c r="DA237" s="19">
        <f>IF(C237="","",COUNTA(BK237,BM237,BO237,BQ237,BS237,BU237,BW237,BY237))</f>
        <v/>
      </c>
      <c r="DB237" s="19">
        <f>IF(C237="","",COUNTIF(AT237:BJ237,"Yes"))</f>
        <v/>
      </c>
      <c r="DC237" s="19">
        <f>IF(C237="","",COUNTIF(CT237:CX237,"Yes"))</f>
        <v/>
      </c>
    </row>
    <row r="238">
      <c r="B238" s="18" t="n"/>
      <c r="F238" s="18" t="n"/>
      <c r="AC238" s="18" t="n"/>
      <c r="AF238" s="18" t="n"/>
      <c r="CZ238" s="19">
        <f>IF(C238="","",COUNTA(AG238,AJ238,AM238,AP238))</f>
        <v/>
      </c>
      <c r="DA238" s="19">
        <f>IF(C238="","",COUNTA(BK238,BM238,BO238,BQ238,BS238,BU238,BW238,BY238))</f>
        <v/>
      </c>
      <c r="DB238" s="19">
        <f>IF(C238="","",COUNTIF(AT238:BJ238,"Yes"))</f>
        <v/>
      </c>
      <c r="DC238" s="19">
        <f>IF(C238="","",COUNTIF(CT238:CX238,"Yes"))</f>
        <v/>
      </c>
    </row>
    <row r="239">
      <c r="B239" s="18" t="n"/>
      <c r="F239" s="18" t="n"/>
      <c r="AC239" s="18" t="n"/>
      <c r="AF239" s="18" t="n"/>
      <c r="CZ239" s="19">
        <f>IF(C239="","",COUNTA(AG239,AJ239,AM239,AP239))</f>
        <v/>
      </c>
      <c r="DA239" s="19">
        <f>IF(C239="","",COUNTA(BK239,BM239,BO239,BQ239,BS239,BU239,BW239,BY239))</f>
        <v/>
      </c>
      <c r="DB239" s="19">
        <f>IF(C239="","",COUNTIF(AT239:BJ239,"Yes"))</f>
        <v/>
      </c>
      <c r="DC239" s="19">
        <f>IF(C239="","",COUNTIF(CT239:CX239,"Yes"))</f>
        <v/>
      </c>
    </row>
    <row r="240">
      <c r="B240" s="18" t="n"/>
      <c r="F240" s="18" t="n"/>
      <c r="AC240" s="18" t="n"/>
      <c r="AF240" s="18" t="n"/>
      <c r="CZ240" s="19">
        <f>IF(C240="","",COUNTA(AG240,AJ240,AM240,AP240))</f>
        <v/>
      </c>
      <c r="DA240" s="19">
        <f>IF(C240="","",COUNTA(BK240,BM240,BO240,BQ240,BS240,BU240,BW240,BY240))</f>
        <v/>
      </c>
      <c r="DB240" s="19">
        <f>IF(C240="","",COUNTIF(AT240:BJ240,"Yes"))</f>
        <v/>
      </c>
      <c r="DC240" s="19">
        <f>IF(C240="","",COUNTIF(CT240:CX240,"Yes"))</f>
        <v/>
      </c>
    </row>
    <row r="241">
      <c r="B241" s="18" t="n"/>
      <c r="F241" s="18" t="n"/>
      <c r="AC241" s="18" t="n"/>
      <c r="AF241" s="18" t="n"/>
      <c r="CZ241" s="19">
        <f>IF(C241="","",COUNTA(AG241,AJ241,AM241,AP241))</f>
        <v/>
      </c>
      <c r="DA241" s="19">
        <f>IF(C241="","",COUNTA(BK241,BM241,BO241,BQ241,BS241,BU241,BW241,BY241))</f>
        <v/>
      </c>
      <c r="DB241" s="19">
        <f>IF(C241="","",COUNTIF(AT241:BJ241,"Yes"))</f>
        <v/>
      </c>
      <c r="DC241" s="19">
        <f>IF(C241="","",COUNTIF(CT241:CX241,"Yes"))</f>
        <v/>
      </c>
    </row>
    <row r="242">
      <c r="B242" s="18" t="n"/>
      <c r="F242" s="18" t="n"/>
      <c r="AC242" s="18" t="n"/>
      <c r="AF242" s="18" t="n"/>
      <c r="CZ242" s="19">
        <f>IF(C242="","",COUNTA(AG242,AJ242,AM242,AP242))</f>
        <v/>
      </c>
      <c r="DA242" s="19">
        <f>IF(C242="","",COUNTA(BK242,BM242,BO242,BQ242,BS242,BU242,BW242,BY242))</f>
        <v/>
      </c>
      <c r="DB242" s="19">
        <f>IF(C242="","",COUNTIF(AT242:BJ242,"Yes"))</f>
        <v/>
      </c>
      <c r="DC242" s="19">
        <f>IF(C242="","",COUNTIF(CT242:CX242,"Yes"))</f>
        <v/>
      </c>
    </row>
    <row r="243">
      <c r="B243" s="18" t="n"/>
      <c r="F243" s="18" t="n"/>
      <c r="AC243" s="18" t="n"/>
      <c r="AF243" s="18" t="n"/>
      <c r="CZ243" s="19">
        <f>IF(C243="","",COUNTA(AG243,AJ243,AM243,AP243))</f>
        <v/>
      </c>
      <c r="DA243" s="19">
        <f>IF(C243="","",COUNTA(BK243,BM243,BO243,BQ243,BS243,BU243,BW243,BY243))</f>
        <v/>
      </c>
      <c r="DB243" s="19">
        <f>IF(C243="","",COUNTIF(AT243:BJ243,"Yes"))</f>
        <v/>
      </c>
      <c r="DC243" s="19">
        <f>IF(C243="","",COUNTIF(CT243:CX243,"Yes"))</f>
        <v/>
      </c>
    </row>
    <row r="244">
      <c r="B244" s="18" t="n"/>
      <c r="F244" s="18" t="n"/>
      <c r="AC244" s="18" t="n"/>
      <c r="AF244" s="18" t="n"/>
      <c r="CZ244" s="19">
        <f>IF(C244="","",COUNTA(AG244,AJ244,AM244,AP244))</f>
        <v/>
      </c>
      <c r="DA244" s="19">
        <f>IF(C244="","",COUNTA(BK244,BM244,BO244,BQ244,BS244,BU244,BW244,BY244))</f>
        <v/>
      </c>
      <c r="DB244" s="19">
        <f>IF(C244="","",COUNTIF(AT244:BJ244,"Yes"))</f>
        <v/>
      </c>
      <c r="DC244" s="19">
        <f>IF(C244="","",COUNTIF(CT244:CX244,"Yes"))</f>
        <v/>
      </c>
    </row>
    <row r="245">
      <c r="B245" s="18" t="n"/>
      <c r="F245" s="18" t="n"/>
      <c r="AC245" s="18" t="n"/>
      <c r="AF245" s="18" t="n"/>
      <c r="CZ245" s="19">
        <f>IF(C245="","",COUNTA(AG245,AJ245,AM245,AP245))</f>
        <v/>
      </c>
      <c r="DA245" s="19">
        <f>IF(C245="","",COUNTA(BK245,BM245,BO245,BQ245,BS245,BU245,BW245,BY245))</f>
        <v/>
      </c>
      <c r="DB245" s="19">
        <f>IF(C245="","",COUNTIF(AT245:BJ245,"Yes"))</f>
        <v/>
      </c>
      <c r="DC245" s="19">
        <f>IF(C245="","",COUNTIF(CT245:CX245,"Yes"))</f>
        <v/>
      </c>
    </row>
    <row r="246">
      <c r="B246" s="18" t="n"/>
      <c r="F246" s="18" t="n"/>
      <c r="AC246" s="18" t="n"/>
      <c r="AF246" s="18" t="n"/>
      <c r="CZ246" s="19">
        <f>IF(C246="","",COUNTA(AG246,AJ246,AM246,AP246))</f>
        <v/>
      </c>
      <c r="DA246" s="19">
        <f>IF(C246="","",COUNTA(BK246,BM246,BO246,BQ246,BS246,BU246,BW246,BY246))</f>
        <v/>
      </c>
      <c r="DB246" s="19">
        <f>IF(C246="","",COUNTIF(AT246:BJ246,"Yes"))</f>
        <v/>
      </c>
      <c r="DC246" s="19">
        <f>IF(C246="","",COUNTIF(CT246:CX246,"Yes"))</f>
        <v/>
      </c>
    </row>
    <row r="247">
      <c r="B247" s="18" t="n"/>
      <c r="F247" s="18" t="n"/>
      <c r="AC247" s="18" t="n"/>
      <c r="AF247" s="18" t="n"/>
      <c r="CZ247" s="19">
        <f>IF(C247="","",COUNTA(AG247,AJ247,AM247,AP247))</f>
        <v/>
      </c>
      <c r="DA247" s="19">
        <f>IF(C247="","",COUNTA(BK247,BM247,BO247,BQ247,BS247,BU247,BW247,BY247))</f>
        <v/>
      </c>
      <c r="DB247" s="19">
        <f>IF(C247="","",COUNTIF(AT247:BJ247,"Yes"))</f>
        <v/>
      </c>
      <c r="DC247" s="19">
        <f>IF(C247="","",COUNTIF(CT247:CX247,"Yes"))</f>
        <v/>
      </c>
    </row>
    <row r="248">
      <c r="B248" s="18" t="n"/>
      <c r="F248" s="18" t="n"/>
      <c r="AC248" s="18" t="n"/>
      <c r="AF248" s="18" t="n"/>
      <c r="CZ248" s="19">
        <f>IF(C248="","",COUNTA(AG248,AJ248,AM248,AP248))</f>
        <v/>
      </c>
      <c r="DA248" s="19">
        <f>IF(C248="","",COUNTA(BK248,BM248,BO248,BQ248,BS248,BU248,BW248,BY248))</f>
        <v/>
      </c>
      <c r="DB248" s="19">
        <f>IF(C248="","",COUNTIF(AT248:BJ248,"Yes"))</f>
        <v/>
      </c>
      <c r="DC248" s="19">
        <f>IF(C248="","",COUNTIF(CT248:CX248,"Yes"))</f>
        <v/>
      </c>
    </row>
    <row r="249">
      <c r="B249" s="18" t="n"/>
      <c r="F249" s="18" t="n"/>
      <c r="AC249" s="18" t="n"/>
      <c r="AF249" s="18" t="n"/>
      <c r="CZ249" s="19">
        <f>IF(C249="","",COUNTA(AG249,AJ249,AM249,AP249))</f>
        <v/>
      </c>
      <c r="DA249" s="19">
        <f>IF(C249="","",COUNTA(BK249,BM249,BO249,BQ249,BS249,BU249,BW249,BY249))</f>
        <v/>
      </c>
      <c r="DB249" s="19">
        <f>IF(C249="","",COUNTIF(AT249:BJ249,"Yes"))</f>
        <v/>
      </c>
      <c r="DC249" s="19">
        <f>IF(C249="","",COUNTIF(CT249:CX249,"Yes"))</f>
        <v/>
      </c>
    </row>
    <row r="250">
      <c r="B250" s="18" t="n"/>
      <c r="F250" s="18" t="n"/>
      <c r="AC250" s="18" t="n"/>
      <c r="AF250" s="18" t="n"/>
      <c r="CZ250" s="19">
        <f>IF(C250="","",COUNTA(AG250,AJ250,AM250,AP250))</f>
        <v/>
      </c>
      <c r="DA250" s="19">
        <f>IF(C250="","",COUNTA(BK250,BM250,BO250,BQ250,BS250,BU250,BW250,BY250))</f>
        <v/>
      </c>
      <c r="DB250" s="19">
        <f>IF(C250="","",COUNTIF(AT250:BJ250,"Yes"))</f>
        <v/>
      </c>
      <c r="DC250" s="19">
        <f>IF(C250="","",COUNTIF(CT250:CX250,"Yes"))</f>
        <v/>
      </c>
    </row>
    <row r="251">
      <c r="B251" s="18" t="n"/>
      <c r="F251" s="18" t="n"/>
      <c r="AC251" s="18" t="n"/>
      <c r="AF251" s="18" t="n"/>
      <c r="CZ251" s="19">
        <f>IF(C251="","",COUNTA(AG251,AJ251,AM251,AP251))</f>
        <v/>
      </c>
      <c r="DA251" s="19">
        <f>IF(C251="","",COUNTA(BK251,BM251,BO251,BQ251,BS251,BU251,BW251,BY251))</f>
        <v/>
      </c>
      <c r="DB251" s="19">
        <f>IF(C251="","",COUNTIF(AT251:BJ251,"Yes"))</f>
        <v/>
      </c>
      <c r="DC251" s="19">
        <f>IF(C251="","",COUNTIF(CT251:CX251,"Yes"))</f>
        <v/>
      </c>
    </row>
    <row r="252">
      <c r="B252" s="18" t="n"/>
      <c r="F252" s="18" t="n"/>
      <c r="AC252" s="18" t="n"/>
      <c r="AF252" s="18" t="n"/>
      <c r="CZ252" s="19">
        <f>IF(C252="","",COUNTA(AG252,AJ252,AM252,AP252))</f>
        <v/>
      </c>
      <c r="DA252" s="19">
        <f>IF(C252="","",COUNTA(BK252,BM252,BO252,BQ252,BS252,BU252,BW252,BY252))</f>
        <v/>
      </c>
      <c r="DB252" s="19">
        <f>IF(C252="","",COUNTIF(AT252:BJ252,"Yes"))</f>
        <v/>
      </c>
      <c r="DC252" s="19">
        <f>IF(C252="","",COUNTIF(CT252:CX252,"Yes"))</f>
        <v/>
      </c>
    </row>
    <row r="253">
      <c r="B253" s="18" t="n"/>
      <c r="F253" s="18" t="n"/>
      <c r="AC253" s="18" t="n"/>
      <c r="AF253" s="18" t="n"/>
      <c r="CZ253" s="19">
        <f>IF(C253="","",COUNTA(AG253,AJ253,AM253,AP253))</f>
        <v/>
      </c>
      <c r="DA253" s="19">
        <f>IF(C253="","",COUNTA(BK253,BM253,BO253,BQ253,BS253,BU253,BW253,BY253))</f>
        <v/>
      </c>
      <c r="DB253" s="19">
        <f>IF(C253="","",COUNTIF(AT253:BJ253,"Yes"))</f>
        <v/>
      </c>
      <c r="DC253" s="19">
        <f>IF(C253="","",COUNTIF(CT253:CX253,"Yes"))</f>
        <v/>
      </c>
    </row>
    <row r="254">
      <c r="B254" s="18" t="n"/>
      <c r="F254" s="18" t="n"/>
      <c r="AC254" s="18" t="n"/>
      <c r="AF254" s="18" t="n"/>
      <c r="CZ254" s="19">
        <f>IF(C254="","",COUNTA(AG254,AJ254,AM254,AP254))</f>
        <v/>
      </c>
      <c r="DA254" s="19">
        <f>IF(C254="","",COUNTA(BK254,BM254,BO254,BQ254,BS254,BU254,BW254,BY254))</f>
        <v/>
      </c>
      <c r="DB254" s="19">
        <f>IF(C254="","",COUNTIF(AT254:BJ254,"Yes"))</f>
        <v/>
      </c>
      <c r="DC254" s="19">
        <f>IF(C254="","",COUNTIF(CT254:CX254,"Yes"))</f>
        <v/>
      </c>
    </row>
    <row r="255">
      <c r="B255" s="18" t="n"/>
      <c r="F255" s="18" t="n"/>
      <c r="AC255" s="18" t="n"/>
      <c r="AF255" s="18" t="n"/>
      <c r="CZ255" s="19">
        <f>IF(C255="","",COUNTA(AG255,AJ255,AM255,AP255))</f>
        <v/>
      </c>
      <c r="DA255" s="19">
        <f>IF(C255="","",COUNTA(BK255,BM255,BO255,BQ255,BS255,BU255,BW255,BY255))</f>
        <v/>
      </c>
      <c r="DB255" s="19">
        <f>IF(C255="","",COUNTIF(AT255:BJ255,"Yes"))</f>
        <v/>
      </c>
      <c r="DC255" s="19">
        <f>IF(C255="","",COUNTIF(CT255:CX255,"Yes"))</f>
        <v/>
      </c>
    </row>
    <row r="256">
      <c r="B256" s="18" t="n"/>
      <c r="F256" s="18" t="n"/>
      <c r="AC256" s="18" t="n"/>
      <c r="AF256" s="18" t="n"/>
      <c r="CZ256" s="19">
        <f>IF(C256="","",COUNTA(AG256,AJ256,AM256,AP256))</f>
        <v/>
      </c>
      <c r="DA256" s="19">
        <f>IF(C256="","",COUNTA(BK256,BM256,BO256,BQ256,BS256,BU256,BW256,BY256))</f>
        <v/>
      </c>
      <c r="DB256" s="19">
        <f>IF(C256="","",COUNTIF(AT256:BJ256,"Yes"))</f>
        <v/>
      </c>
      <c r="DC256" s="19">
        <f>IF(C256="","",COUNTIF(CT256:CX256,"Yes"))</f>
        <v/>
      </c>
    </row>
    <row r="257">
      <c r="B257" s="18" t="n"/>
      <c r="F257" s="18" t="n"/>
      <c r="AC257" s="18" t="n"/>
      <c r="AF257" s="18" t="n"/>
      <c r="CZ257" s="19">
        <f>IF(C257="","",COUNTA(AG257,AJ257,AM257,AP257))</f>
        <v/>
      </c>
      <c r="DA257" s="19">
        <f>IF(C257="","",COUNTA(BK257,BM257,BO257,BQ257,BS257,BU257,BW257,BY257))</f>
        <v/>
      </c>
      <c r="DB257" s="19">
        <f>IF(C257="","",COUNTIF(AT257:BJ257,"Yes"))</f>
        <v/>
      </c>
      <c r="DC257" s="19">
        <f>IF(C257="","",COUNTIF(CT257:CX257,"Yes"))</f>
        <v/>
      </c>
    </row>
    <row r="258">
      <c r="B258" s="18" t="n"/>
      <c r="F258" s="18" t="n"/>
      <c r="AC258" s="18" t="n"/>
      <c r="AF258" s="18" t="n"/>
      <c r="CZ258" s="19">
        <f>IF(C258="","",COUNTA(AG258,AJ258,AM258,AP258))</f>
        <v/>
      </c>
      <c r="DA258" s="19">
        <f>IF(C258="","",COUNTA(BK258,BM258,BO258,BQ258,BS258,BU258,BW258,BY258))</f>
        <v/>
      </c>
      <c r="DB258" s="19">
        <f>IF(C258="","",COUNTIF(AT258:BJ258,"Yes"))</f>
        <v/>
      </c>
      <c r="DC258" s="19">
        <f>IF(C258="","",COUNTIF(CT258:CX258,"Yes"))</f>
        <v/>
      </c>
    </row>
    <row r="259">
      <c r="B259" s="18" t="n"/>
      <c r="F259" s="18" t="n"/>
      <c r="AC259" s="18" t="n"/>
      <c r="AF259" s="18" t="n"/>
      <c r="CZ259" s="19">
        <f>IF(C259="","",COUNTA(AG259,AJ259,AM259,AP259))</f>
        <v/>
      </c>
      <c r="DA259" s="19">
        <f>IF(C259="","",COUNTA(BK259,BM259,BO259,BQ259,BS259,BU259,BW259,BY259))</f>
        <v/>
      </c>
      <c r="DB259" s="19">
        <f>IF(C259="","",COUNTIF(AT259:BJ259,"Yes"))</f>
        <v/>
      </c>
      <c r="DC259" s="19">
        <f>IF(C259="","",COUNTIF(CT259:CX259,"Yes"))</f>
        <v/>
      </c>
    </row>
    <row r="260">
      <c r="B260" s="18" t="n"/>
      <c r="F260" s="18" t="n"/>
      <c r="AC260" s="18" t="n"/>
      <c r="AF260" s="18" t="n"/>
      <c r="CZ260" s="19">
        <f>IF(C260="","",COUNTA(AG260,AJ260,AM260,AP260))</f>
        <v/>
      </c>
      <c r="DA260" s="19">
        <f>IF(C260="","",COUNTA(BK260,BM260,BO260,BQ260,BS260,BU260,BW260,BY260))</f>
        <v/>
      </c>
      <c r="DB260" s="19">
        <f>IF(C260="","",COUNTIF(AT260:BJ260,"Yes"))</f>
        <v/>
      </c>
      <c r="DC260" s="19">
        <f>IF(C260="","",COUNTIF(CT260:CX260,"Yes"))</f>
        <v/>
      </c>
    </row>
    <row r="261">
      <c r="B261" s="18" t="n"/>
      <c r="F261" s="18" t="n"/>
      <c r="AC261" s="18" t="n"/>
      <c r="AF261" s="18" t="n"/>
      <c r="CZ261" s="19">
        <f>IF(C261="","",COUNTA(AG261,AJ261,AM261,AP261))</f>
        <v/>
      </c>
      <c r="DA261" s="19">
        <f>IF(C261="","",COUNTA(BK261,BM261,BO261,BQ261,BS261,BU261,BW261,BY261))</f>
        <v/>
      </c>
      <c r="DB261" s="19">
        <f>IF(C261="","",COUNTIF(AT261:BJ261,"Yes"))</f>
        <v/>
      </c>
      <c r="DC261" s="19">
        <f>IF(C261="","",COUNTIF(CT261:CX261,"Yes"))</f>
        <v/>
      </c>
    </row>
    <row r="262">
      <c r="B262" s="18" t="n"/>
      <c r="F262" s="18" t="n"/>
      <c r="AC262" s="18" t="n"/>
      <c r="AF262" s="18" t="n"/>
      <c r="CZ262" s="19">
        <f>IF(C262="","",COUNTA(AG262,AJ262,AM262,AP262))</f>
        <v/>
      </c>
      <c r="DA262" s="19">
        <f>IF(C262="","",COUNTA(BK262,BM262,BO262,BQ262,BS262,BU262,BW262,BY262))</f>
        <v/>
      </c>
      <c r="DB262" s="19">
        <f>IF(C262="","",COUNTIF(AT262:BJ262,"Yes"))</f>
        <v/>
      </c>
      <c r="DC262" s="19">
        <f>IF(C262="","",COUNTIF(CT262:CX262,"Yes"))</f>
        <v/>
      </c>
    </row>
    <row r="263">
      <c r="B263" s="18" t="n"/>
      <c r="F263" s="18" t="n"/>
      <c r="AC263" s="18" t="n"/>
      <c r="AF263" s="18" t="n"/>
      <c r="CZ263" s="19">
        <f>IF(C263="","",COUNTA(AG263,AJ263,AM263,AP263))</f>
        <v/>
      </c>
      <c r="DA263" s="19">
        <f>IF(C263="","",COUNTA(BK263,BM263,BO263,BQ263,BS263,BU263,BW263,BY263))</f>
        <v/>
      </c>
      <c r="DB263" s="19">
        <f>IF(C263="","",COUNTIF(AT263:BJ263,"Yes"))</f>
        <v/>
      </c>
      <c r="DC263" s="19">
        <f>IF(C263="","",COUNTIF(CT263:CX263,"Yes"))</f>
        <v/>
      </c>
    </row>
    <row r="264">
      <c r="B264" s="18" t="n"/>
      <c r="F264" s="18" t="n"/>
      <c r="AC264" s="18" t="n"/>
      <c r="AF264" s="18" t="n"/>
      <c r="CZ264" s="19">
        <f>IF(C264="","",COUNTA(AG264,AJ264,AM264,AP264))</f>
        <v/>
      </c>
      <c r="DA264" s="19">
        <f>IF(C264="","",COUNTA(BK264,BM264,BO264,BQ264,BS264,BU264,BW264,BY264))</f>
        <v/>
      </c>
      <c r="DB264" s="19">
        <f>IF(C264="","",COUNTIF(AT264:BJ264,"Yes"))</f>
        <v/>
      </c>
      <c r="DC264" s="19">
        <f>IF(C264="","",COUNTIF(CT264:CX264,"Yes"))</f>
        <v/>
      </c>
    </row>
    <row r="265">
      <c r="B265" s="18" t="n"/>
      <c r="F265" s="18" t="n"/>
      <c r="AC265" s="18" t="n"/>
      <c r="AF265" s="18" t="n"/>
      <c r="CZ265" s="19">
        <f>IF(C265="","",COUNTA(AG265,AJ265,AM265,AP265))</f>
        <v/>
      </c>
      <c r="DA265" s="19">
        <f>IF(C265="","",COUNTA(BK265,BM265,BO265,BQ265,BS265,BU265,BW265,BY265))</f>
        <v/>
      </c>
      <c r="DB265" s="19">
        <f>IF(C265="","",COUNTIF(AT265:BJ265,"Yes"))</f>
        <v/>
      </c>
      <c r="DC265" s="19">
        <f>IF(C265="","",COUNTIF(CT265:CX265,"Yes"))</f>
        <v/>
      </c>
    </row>
    <row r="266">
      <c r="B266" s="18" t="n"/>
      <c r="F266" s="18" t="n"/>
      <c r="AC266" s="18" t="n"/>
      <c r="AF266" s="18" t="n"/>
      <c r="CZ266" s="19">
        <f>IF(C266="","",COUNTA(AG266,AJ266,AM266,AP266))</f>
        <v/>
      </c>
      <c r="DA266" s="19">
        <f>IF(C266="","",COUNTA(BK266,BM266,BO266,BQ266,BS266,BU266,BW266,BY266))</f>
        <v/>
      </c>
      <c r="DB266" s="19">
        <f>IF(C266="","",COUNTIF(AT266:BJ266,"Yes"))</f>
        <v/>
      </c>
      <c r="DC266" s="19">
        <f>IF(C266="","",COUNTIF(CT266:CX266,"Yes"))</f>
        <v/>
      </c>
    </row>
    <row r="267">
      <c r="B267" s="18" t="n"/>
      <c r="F267" s="18" t="n"/>
      <c r="AC267" s="18" t="n"/>
      <c r="AF267" s="18" t="n"/>
      <c r="CZ267" s="19">
        <f>IF(C267="","",COUNTA(AG267,AJ267,AM267,AP267))</f>
        <v/>
      </c>
      <c r="DA267" s="19">
        <f>IF(C267="","",COUNTA(BK267,BM267,BO267,BQ267,BS267,BU267,BW267,BY267))</f>
        <v/>
      </c>
      <c r="DB267" s="19">
        <f>IF(C267="","",COUNTIF(AT267:BJ267,"Yes"))</f>
        <v/>
      </c>
      <c r="DC267" s="19">
        <f>IF(C267="","",COUNTIF(CT267:CX267,"Yes"))</f>
        <v/>
      </c>
    </row>
    <row r="268">
      <c r="B268" s="18" t="n"/>
      <c r="F268" s="18" t="n"/>
      <c r="AC268" s="18" t="n"/>
      <c r="AF268" s="18" t="n"/>
      <c r="CZ268" s="19">
        <f>IF(C268="","",COUNTA(AG268,AJ268,AM268,AP268))</f>
        <v/>
      </c>
      <c r="DA268" s="19">
        <f>IF(C268="","",COUNTA(BK268,BM268,BO268,BQ268,BS268,BU268,BW268,BY268))</f>
        <v/>
      </c>
      <c r="DB268" s="19">
        <f>IF(C268="","",COUNTIF(AT268:BJ268,"Yes"))</f>
        <v/>
      </c>
      <c r="DC268" s="19">
        <f>IF(C268="","",COUNTIF(CT268:CX268,"Yes"))</f>
        <v/>
      </c>
    </row>
    <row r="269">
      <c r="B269" s="18" t="n"/>
      <c r="F269" s="18" t="n"/>
      <c r="AC269" s="18" t="n"/>
      <c r="AF269" s="18" t="n"/>
      <c r="CZ269" s="19">
        <f>IF(C269="","",COUNTA(AG269,AJ269,AM269,AP269))</f>
        <v/>
      </c>
      <c r="DA269" s="19">
        <f>IF(C269="","",COUNTA(BK269,BM269,BO269,BQ269,BS269,BU269,BW269,BY269))</f>
        <v/>
      </c>
      <c r="DB269" s="19">
        <f>IF(C269="","",COUNTIF(AT269:BJ269,"Yes"))</f>
        <v/>
      </c>
      <c r="DC269" s="19">
        <f>IF(C269="","",COUNTIF(CT269:CX269,"Yes"))</f>
        <v/>
      </c>
    </row>
    <row r="270">
      <c r="B270" s="18" t="n"/>
      <c r="F270" s="18" t="n"/>
      <c r="AC270" s="18" t="n"/>
      <c r="AF270" s="18" t="n"/>
      <c r="CZ270" s="19">
        <f>IF(C270="","",COUNTA(AG270,AJ270,AM270,AP270))</f>
        <v/>
      </c>
      <c r="DA270" s="19">
        <f>IF(C270="","",COUNTA(BK270,BM270,BO270,BQ270,BS270,BU270,BW270,BY270))</f>
        <v/>
      </c>
      <c r="DB270" s="19">
        <f>IF(C270="","",COUNTIF(AT270:BJ270,"Yes"))</f>
        <v/>
      </c>
      <c r="DC270" s="19">
        <f>IF(C270="","",COUNTIF(CT270:CX270,"Yes"))</f>
        <v/>
      </c>
    </row>
    <row r="271">
      <c r="B271" s="18" t="n"/>
      <c r="F271" s="18" t="n"/>
      <c r="AC271" s="18" t="n"/>
      <c r="AF271" s="18" t="n"/>
      <c r="CZ271" s="19">
        <f>IF(C271="","",COUNTA(AG271,AJ271,AM271,AP271))</f>
        <v/>
      </c>
      <c r="DA271" s="19">
        <f>IF(C271="","",COUNTA(BK271,BM271,BO271,BQ271,BS271,BU271,BW271,BY271))</f>
        <v/>
      </c>
      <c r="DB271" s="19">
        <f>IF(C271="","",COUNTIF(AT271:BJ271,"Yes"))</f>
        <v/>
      </c>
      <c r="DC271" s="19">
        <f>IF(C271="","",COUNTIF(CT271:CX271,"Yes"))</f>
        <v/>
      </c>
    </row>
    <row r="272">
      <c r="B272" s="18" t="n"/>
      <c r="F272" s="18" t="n"/>
      <c r="AC272" s="18" t="n"/>
      <c r="AF272" s="18" t="n"/>
      <c r="CZ272" s="19">
        <f>IF(C272="","",COUNTA(AG272,AJ272,AM272,AP272))</f>
        <v/>
      </c>
      <c r="DA272" s="19">
        <f>IF(C272="","",COUNTA(BK272,BM272,BO272,BQ272,BS272,BU272,BW272,BY272))</f>
        <v/>
      </c>
      <c r="DB272" s="19">
        <f>IF(C272="","",COUNTIF(AT272:BJ272,"Yes"))</f>
        <v/>
      </c>
      <c r="DC272" s="19">
        <f>IF(C272="","",COUNTIF(CT272:CX272,"Yes"))</f>
        <v/>
      </c>
    </row>
    <row r="273">
      <c r="B273" s="18" t="n"/>
      <c r="F273" s="18" t="n"/>
      <c r="AC273" s="18" t="n"/>
      <c r="AF273" s="18" t="n"/>
      <c r="CZ273" s="19">
        <f>IF(C273="","",COUNTA(AG273,AJ273,AM273,AP273))</f>
        <v/>
      </c>
      <c r="DA273" s="19">
        <f>IF(C273="","",COUNTA(BK273,BM273,BO273,BQ273,BS273,BU273,BW273,BY273))</f>
        <v/>
      </c>
      <c r="DB273" s="19">
        <f>IF(C273="","",COUNTIF(AT273:BJ273,"Yes"))</f>
        <v/>
      </c>
      <c r="DC273" s="19">
        <f>IF(C273="","",COUNTIF(CT273:CX273,"Yes"))</f>
        <v/>
      </c>
    </row>
    <row r="274">
      <c r="B274" s="18" t="n"/>
      <c r="F274" s="18" t="n"/>
      <c r="AC274" s="18" t="n"/>
      <c r="AF274" s="18" t="n"/>
      <c r="CZ274" s="19">
        <f>IF(C274="","",COUNTA(AG274,AJ274,AM274,AP274))</f>
        <v/>
      </c>
      <c r="DA274" s="19">
        <f>IF(C274="","",COUNTA(BK274,BM274,BO274,BQ274,BS274,BU274,BW274,BY274))</f>
        <v/>
      </c>
      <c r="DB274" s="19">
        <f>IF(C274="","",COUNTIF(AT274:BJ274,"Yes"))</f>
        <v/>
      </c>
      <c r="DC274" s="19">
        <f>IF(C274="","",COUNTIF(CT274:CX274,"Yes"))</f>
        <v/>
      </c>
    </row>
    <row r="275">
      <c r="B275" s="18" t="n"/>
      <c r="F275" s="18" t="n"/>
      <c r="AC275" s="18" t="n"/>
      <c r="AF275" s="18" t="n"/>
      <c r="CZ275" s="19">
        <f>IF(C275="","",COUNTA(AG275,AJ275,AM275,AP275))</f>
        <v/>
      </c>
      <c r="DA275" s="19">
        <f>IF(C275="","",COUNTA(BK275,BM275,BO275,BQ275,BS275,BU275,BW275,BY275))</f>
        <v/>
      </c>
      <c r="DB275" s="19">
        <f>IF(C275="","",COUNTIF(AT275:BJ275,"Yes"))</f>
        <v/>
      </c>
      <c r="DC275" s="19">
        <f>IF(C275="","",COUNTIF(CT275:CX275,"Yes"))</f>
        <v/>
      </c>
    </row>
    <row r="276">
      <c r="B276" s="18" t="n"/>
      <c r="F276" s="18" t="n"/>
      <c r="AC276" s="18" t="n"/>
      <c r="AF276" s="18" t="n"/>
      <c r="CZ276" s="19">
        <f>IF(C276="","",COUNTA(AG276,AJ276,AM276,AP276))</f>
        <v/>
      </c>
      <c r="DA276" s="19">
        <f>IF(C276="","",COUNTA(BK276,BM276,BO276,BQ276,BS276,BU276,BW276,BY276))</f>
        <v/>
      </c>
      <c r="DB276" s="19">
        <f>IF(C276="","",COUNTIF(AT276:BJ276,"Yes"))</f>
        <v/>
      </c>
      <c r="DC276" s="19">
        <f>IF(C276="","",COUNTIF(CT276:CX276,"Yes"))</f>
        <v/>
      </c>
    </row>
    <row r="277">
      <c r="B277" s="18" t="n"/>
      <c r="F277" s="18" t="n"/>
      <c r="AC277" s="18" t="n"/>
      <c r="AF277" s="18" t="n"/>
      <c r="CZ277" s="19">
        <f>IF(C277="","",COUNTA(AG277,AJ277,AM277,AP277))</f>
        <v/>
      </c>
      <c r="DA277" s="19">
        <f>IF(C277="","",COUNTA(BK277,BM277,BO277,BQ277,BS277,BU277,BW277,BY277))</f>
        <v/>
      </c>
      <c r="DB277" s="19">
        <f>IF(C277="","",COUNTIF(AT277:BJ277,"Yes"))</f>
        <v/>
      </c>
      <c r="DC277" s="19">
        <f>IF(C277="","",COUNTIF(CT277:CX277,"Yes"))</f>
        <v/>
      </c>
    </row>
    <row r="278">
      <c r="B278" s="18" t="n"/>
      <c r="F278" s="18" t="n"/>
      <c r="AC278" s="18" t="n"/>
      <c r="AF278" s="18" t="n"/>
      <c r="CZ278" s="19">
        <f>IF(C278="","",COUNTA(AG278,AJ278,AM278,AP278))</f>
        <v/>
      </c>
      <c r="DA278" s="19">
        <f>IF(C278="","",COUNTA(BK278,BM278,BO278,BQ278,BS278,BU278,BW278,BY278))</f>
        <v/>
      </c>
      <c r="DB278" s="19">
        <f>IF(C278="","",COUNTIF(AT278:BJ278,"Yes"))</f>
        <v/>
      </c>
      <c r="DC278" s="19">
        <f>IF(C278="","",COUNTIF(CT278:CX278,"Yes"))</f>
        <v/>
      </c>
    </row>
    <row r="279">
      <c r="B279" s="18" t="n"/>
      <c r="F279" s="18" t="n"/>
      <c r="AC279" s="18" t="n"/>
      <c r="AF279" s="18" t="n"/>
      <c r="CZ279" s="19">
        <f>IF(C279="","",COUNTA(AG279,AJ279,AM279,AP279))</f>
        <v/>
      </c>
      <c r="DA279" s="19">
        <f>IF(C279="","",COUNTA(BK279,BM279,BO279,BQ279,BS279,BU279,BW279,BY279))</f>
        <v/>
      </c>
      <c r="DB279" s="19">
        <f>IF(C279="","",COUNTIF(AT279:BJ279,"Yes"))</f>
        <v/>
      </c>
      <c r="DC279" s="19">
        <f>IF(C279="","",COUNTIF(CT279:CX279,"Yes"))</f>
        <v/>
      </c>
    </row>
    <row r="280">
      <c r="B280" s="18" t="n"/>
      <c r="F280" s="18" t="n"/>
      <c r="AC280" s="18" t="n"/>
      <c r="AF280" s="18" t="n"/>
      <c r="CZ280" s="19">
        <f>IF(C280="","",COUNTA(AG280,AJ280,AM280,AP280))</f>
        <v/>
      </c>
      <c r="DA280" s="19">
        <f>IF(C280="","",COUNTA(BK280,BM280,BO280,BQ280,BS280,BU280,BW280,BY280))</f>
        <v/>
      </c>
      <c r="DB280" s="19">
        <f>IF(C280="","",COUNTIF(AT280:BJ280,"Yes"))</f>
        <v/>
      </c>
      <c r="DC280" s="19">
        <f>IF(C280="","",COUNTIF(CT280:CX280,"Yes"))</f>
        <v/>
      </c>
    </row>
    <row r="281">
      <c r="B281" s="18" t="n"/>
      <c r="F281" s="18" t="n"/>
      <c r="AC281" s="18" t="n"/>
      <c r="AF281" s="18" t="n"/>
      <c r="CZ281" s="19">
        <f>IF(C281="","",COUNTA(AG281,AJ281,AM281,AP281))</f>
        <v/>
      </c>
      <c r="DA281" s="19">
        <f>IF(C281="","",COUNTA(BK281,BM281,BO281,BQ281,BS281,BU281,BW281,BY281))</f>
        <v/>
      </c>
      <c r="DB281" s="19">
        <f>IF(C281="","",COUNTIF(AT281:BJ281,"Yes"))</f>
        <v/>
      </c>
      <c r="DC281" s="19">
        <f>IF(C281="","",COUNTIF(CT281:CX281,"Yes"))</f>
        <v/>
      </c>
    </row>
    <row r="282">
      <c r="B282" s="18" t="n"/>
      <c r="F282" s="18" t="n"/>
      <c r="AC282" s="18" t="n"/>
      <c r="AF282" s="18" t="n"/>
      <c r="CZ282" s="19">
        <f>IF(C282="","",COUNTA(AG282,AJ282,AM282,AP282))</f>
        <v/>
      </c>
      <c r="DA282" s="19">
        <f>IF(C282="","",COUNTA(BK282,BM282,BO282,BQ282,BS282,BU282,BW282,BY282))</f>
        <v/>
      </c>
      <c r="DB282" s="19">
        <f>IF(C282="","",COUNTIF(AT282:BJ282,"Yes"))</f>
        <v/>
      </c>
      <c r="DC282" s="19">
        <f>IF(C282="","",COUNTIF(CT282:CX282,"Yes"))</f>
        <v/>
      </c>
    </row>
    <row r="283">
      <c r="B283" s="18" t="n"/>
      <c r="F283" s="18" t="n"/>
      <c r="AC283" s="18" t="n"/>
      <c r="AF283" s="18" t="n"/>
      <c r="CZ283" s="19">
        <f>IF(C283="","",COUNTA(AG283,AJ283,AM283,AP283))</f>
        <v/>
      </c>
      <c r="DA283" s="19">
        <f>IF(C283="","",COUNTA(BK283,BM283,BO283,BQ283,BS283,BU283,BW283,BY283))</f>
        <v/>
      </c>
      <c r="DB283" s="19">
        <f>IF(C283="","",COUNTIF(AT283:BJ283,"Yes"))</f>
        <v/>
      </c>
      <c r="DC283" s="19">
        <f>IF(C283="","",COUNTIF(CT283:CX283,"Yes"))</f>
        <v/>
      </c>
    </row>
    <row r="284">
      <c r="B284" s="18" t="n"/>
      <c r="F284" s="18" t="n"/>
      <c r="AC284" s="18" t="n"/>
      <c r="AF284" s="18" t="n"/>
      <c r="CZ284" s="19">
        <f>IF(C284="","",COUNTA(AG284,AJ284,AM284,AP284))</f>
        <v/>
      </c>
      <c r="DA284" s="19">
        <f>IF(C284="","",COUNTA(BK284,BM284,BO284,BQ284,BS284,BU284,BW284,BY284))</f>
        <v/>
      </c>
      <c r="DB284" s="19">
        <f>IF(C284="","",COUNTIF(AT284:BJ284,"Yes"))</f>
        <v/>
      </c>
      <c r="DC284" s="19">
        <f>IF(C284="","",COUNTIF(CT284:CX284,"Yes"))</f>
        <v/>
      </c>
    </row>
    <row r="285">
      <c r="B285" s="18" t="n"/>
      <c r="F285" s="18" t="n"/>
      <c r="AC285" s="18" t="n"/>
      <c r="AF285" s="18" t="n"/>
      <c r="CZ285" s="19">
        <f>IF(C285="","",COUNTA(AG285,AJ285,AM285,AP285))</f>
        <v/>
      </c>
      <c r="DA285" s="19">
        <f>IF(C285="","",COUNTA(BK285,BM285,BO285,BQ285,BS285,BU285,BW285,BY285))</f>
        <v/>
      </c>
      <c r="DB285" s="19">
        <f>IF(C285="","",COUNTIF(AT285:BJ285,"Yes"))</f>
        <v/>
      </c>
      <c r="DC285" s="19">
        <f>IF(C285="","",COUNTIF(CT285:CX285,"Yes"))</f>
        <v/>
      </c>
    </row>
    <row r="286">
      <c r="B286" s="18" t="n"/>
      <c r="F286" s="18" t="n"/>
      <c r="AC286" s="18" t="n"/>
      <c r="AF286" s="18" t="n"/>
      <c r="CZ286" s="19">
        <f>IF(C286="","",COUNTA(AG286,AJ286,AM286,AP286))</f>
        <v/>
      </c>
      <c r="DA286" s="19">
        <f>IF(C286="","",COUNTA(BK286,BM286,BO286,BQ286,BS286,BU286,BW286,BY286))</f>
        <v/>
      </c>
      <c r="DB286" s="19">
        <f>IF(C286="","",COUNTIF(AT286:BJ286,"Yes"))</f>
        <v/>
      </c>
      <c r="DC286" s="19">
        <f>IF(C286="","",COUNTIF(CT286:CX286,"Yes"))</f>
        <v/>
      </c>
    </row>
    <row r="287">
      <c r="B287" s="18" t="n"/>
      <c r="F287" s="18" t="n"/>
      <c r="AC287" s="18" t="n"/>
      <c r="AF287" s="18" t="n"/>
      <c r="CZ287" s="19">
        <f>IF(C287="","",COUNTA(AG287,AJ287,AM287,AP287))</f>
        <v/>
      </c>
      <c r="DA287" s="19">
        <f>IF(C287="","",COUNTA(BK287,BM287,BO287,BQ287,BS287,BU287,BW287,BY287))</f>
        <v/>
      </c>
      <c r="DB287" s="19">
        <f>IF(C287="","",COUNTIF(AT287:BJ287,"Yes"))</f>
        <v/>
      </c>
      <c r="DC287" s="19">
        <f>IF(C287="","",COUNTIF(CT287:CX287,"Yes"))</f>
        <v/>
      </c>
    </row>
    <row r="288">
      <c r="B288" s="18" t="n"/>
      <c r="F288" s="18" t="n"/>
      <c r="AC288" s="18" t="n"/>
      <c r="AF288" s="18" t="n"/>
      <c r="CZ288" s="19">
        <f>IF(C288="","",COUNTA(AG288,AJ288,AM288,AP288))</f>
        <v/>
      </c>
      <c r="DA288" s="19">
        <f>IF(C288="","",COUNTA(BK288,BM288,BO288,BQ288,BS288,BU288,BW288,BY288))</f>
        <v/>
      </c>
      <c r="DB288" s="19">
        <f>IF(C288="","",COUNTIF(AT288:BJ288,"Yes"))</f>
        <v/>
      </c>
      <c r="DC288" s="19">
        <f>IF(C288="","",COUNTIF(CT288:CX288,"Yes"))</f>
        <v/>
      </c>
    </row>
    <row r="289">
      <c r="B289" s="18" t="n"/>
      <c r="F289" s="18" t="n"/>
      <c r="AC289" s="18" t="n"/>
      <c r="AF289" s="18" t="n"/>
      <c r="CZ289" s="19">
        <f>IF(C289="","",COUNTA(AG289,AJ289,AM289,AP289))</f>
        <v/>
      </c>
      <c r="DA289" s="19">
        <f>IF(C289="","",COUNTA(BK289,BM289,BO289,BQ289,BS289,BU289,BW289,BY289))</f>
        <v/>
      </c>
      <c r="DB289" s="19">
        <f>IF(C289="","",COUNTIF(AT289:BJ289,"Yes"))</f>
        <v/>
      </c>
      <c r="DC289" s="19">
        <f>IF(C289="","",COUNTIF(CT289:CX289,"Yes"))</f>
        <v/>
      </c>
    </row>
    <row r="290">
      <c r="B290" s="18" t="n"/>
      <c r="F290" s="18" t="n"/>
      <c r="AC290" s="18" t="n"/>
      <c r="AF290" s="18" t="n"/>
      <c r="CZ290" s="19">
        <f>IF(C290="","",COUNTA(AG290,AJ290,AM290,AP290))</f>
        <v/>
      </c>
      <c r="DA290" s="19">
        <f>IF(C290="","",COUNTA(BK290,BM290,BO290,BQ290,BS290,BU290,BW290,BY290))</f>
        <v/>
      </c>
      <c r="DB290" s="19">
        <f>IF(C290="","",COUNTIF(AT290:BJ290,"Yes"))</f>
        <v/>
      </c>
      <c r="DC290" s="19">
        <f>IF(C290="","",COUNTIF(CT290:CX290,"Yes"))</f>
        <v/>
      </c>
    </row>
    <row r="291">
      <c r="B291" s="18" t="n"/>
      <c r="F291" s="18" t="n"/>
      <c r="AC291" s="18" t="n"/>
      <c r="AF291" s="18" t="n"/>
      <c r="CZ291" s="19">
        <f>IF(C291="","",COUNTA(AG291,AJ291,AM291,AP291))</f>
        <v/>
      </c>
      <c r="DA291" s="19">
        <f>IF(C291="","",COUNTA(BK291,BM291,BO291,BQ291,BS291,BU291,BW291,BY291))</f>
        <v/>
      </c>
      <c r="DB291" s="19">
        <f>IF(C291="","",COUNTIF(AT291:BJ291,"Yes"))</f>
        <v/>
      </c>
      <c r="DC291" s="19">
        <f>IF(C291="","",COUNTIF(CT291:CX291,"Yes"))</f>
        <v/>
      </c>
    </row>
    <row r="292">
      <c r="B292" s="18" t="n"/>
      <c r="F292" s="18" t="n"/>
      <c r="AC292" s="18" t="n"/>
      <c r="AF292" s="18" t="n"/>
      <c r="CZ292" s="19">
        <f>IF(C292="","",COUNTA(AG292,AJ292,AM292,AP292))</f>
        <v/>
      </c>
      <c r="DA292" s="19">
        <f>IF(C292="","",COUNTA(BK292,BM292,BO292,BQ292,BS292,BU292,BW292,BY292))</f>
        <v/>
      </c>
      <c r="DB292" s="19">
        <f>IF(C292="","",COUNTIF(AT292:BJ292,"Yes"))</f>
        <v/>
      </c>
      <c r="DC292" s="19">
        <f>IF(C292="","",COUNTIF(CT292:CX292,"Yes"))</f>
        <v/>
      </c>
    </row>
    <row r="293">
      <c r="B293" s="18" t="n"/>
      <c r="F293" s="18" t="n"/>
      <c r="AC293" s="18" t="n"/>
      <c r="AF293" s="18" t="n"/>
      <c r="CZ293" s="19">
        <f>IF(C293="","",COUNTA(AG293,AJ293,AM293,AP293))</f>
        <v/>
      </c>
      <c r="DA293" s="19">
        <f>IF(C293="","",COUNTA(BK293,BM293,BO293,BQ293,BS293,BU293,BW293,BY293))</f>
        <v/>
      </c>
      <c r="DB293" s="19">
        <f>IF(C293="","",COUNTIF(AT293:BJ293,"Yes"))</f>
        <v/>
      </c>
      <c r="DC293" s="19">
        <f>IF(C293="","",COUNTIF(CT293:CX293,"Yes"))</f>
        <v/>
      </c>
    </row>
    <row r="294">
      <c r="B294" s="18" t="n"/>
      <c r="F294" s="18" t="n"/>
      <c r="AC294" s="18" t="n"/>
      <c r="AF294" s="18" t="n"/>
      <c r="CZ294" s="19">
        <f>IF(C294="","",COUNTA(AG294,AJ294,AM294,AP294))</f>
        <v/>
      </c>
      <c r="DA294" s="19">
        <f>IF(C294="","",COUNTA(BK294,BM294,BO294,BQ294,BS294,BU294,BW294,BY294))</f>
        <v/>
      </c>
      <c r="DB294" s="19">
        <f>IF(C294="","",COUNTIF(AT294:BJ294,"Yes"))</f>
        <v/>
      </c>
      <c r="DC294" s="19">
        <f>IF(C294="","",COUNTIF(CT294:CX294,"Yes"))</f>
        <v/>
      </c>
    </row>
    <row r="295">
      <c r="B295" s="18" t="n"/>
      <c r="F295" s="18" t="n"/>
      <c r="AC295" s="18" t="n"/>
      <c r="AF295" s="18" t="n"/>
      <c r="CZ295" s="19">
        <f>IF(C295="","",COUNTA(AG295,AJ295,AM295,AP295))</f>
        <v/>
      </c>
      <c r="DA295" s="19">
        <f>IF(C295="","",COUNTA(BK295,BM295,BO295,BQ295,BS295,BU295,BW295,BY295))</f>
        <v/>
      </c>
      <c r="DB295" s="19">
        <f>IF(C295="","",COUNTIF(AT295:BJ295,"Yes"))</f>
        <v/>
      </c>
      <c r="DC295" s="19">
        <f>IF(C295="","",COUNTIF(CT295:CX295,"Yes"))</f>
        <v/>
      </c>
    </row>
    <row r="296">
      <c r="B296" s="18" t="n"/>
      <c r="F296" s="18" t="n"/>
      <c r="AC296" s="18" t="n"/>
      <c r="AF296" s="18" t="n"/>
      <c r="CZ296" s="19">
        <f>IF(C296="","",COUNTA(AG296,AJ296,AM296,AP296))</f>
        <v/>
      </c>
      <c r="DA296" s="19">
        <f>IF(C296="","",COUNTA(BK296,BM296,BO296,BQ296,BS296,BU296,BW296,BY296))</f>
        <v/>
      </c>
      <c r="DB296" s="19">
        <f>IF(C296="","",COUNTIF(AT296:BJ296,"Yes"))</f>
        <v/>
      </c>
      <c r="DC296" s="19">
        <f>IF(C296="","",COUNTIF(CT296:CX296,"Yes"))</f>
        <v/>
      </c>
    </row>
    <row r="297">
      <c r="B297" s="18" t="n"/>
      <c r="F297" s="18" t="n"/>
      <c r="AC297" s="18" t="n"/>
      <c r="AF297" s="18" t="n"/>
      <c r="CZ297" s="19">
        <f>IF(C297="","",COUNTA(AG297,AJ297,AM297,AP297))</f>
        <v/>
      </c>
      <c r="DA297" s="19">
        <f>IF(C297="","",COUNTA(BK297,BM297,BO297,BQ297,BS297,BU297,BW297,BY297))</f>
        <v/>
      </c>
      <c r="DB297" s="19">
        <f>IF(C297="","",COUNTIF(AT297:BJ297,"Yes"))</f>
        <v/>
      </c>
      <c r="DC297" s="19">
        <f>IF(C297="","",COUNTIF(CT297:CX297,"Yes"))</f>
        <v/>
      </c>
    </row>
    <row r="298">
      <c r="B298" s="18" t="n"/>
      <c r="F298" s="18" t="n"/>
      <c r="AC298" s="18" t="n"/>
      <c r="AF298" s="18" t="n"/>
      <c r="CZ298" s="19">
        <f>IF(C298="","",COUNTA(AG298,AJ298,AM298,AP298))</f>
        <v/>
      </c>
      <c r="DA298" s="19">
        <f>IF(C298="","",COUNTA(BK298,BM298,BO298,BQ298,BS298,BU298,BW298,BY298))</f>
        <v/>
      </c>
      <c r="DB298" s="19">
        <f>IF(C298="","",COUNTIF(AT298:BJ298,"Yes"))</f>
        <v/>
      </c>
      <c r="DC298" s="19">
        <f>IF(C298="","",COUNTIF(CT298:CX298,"Yes"))</f>
        <v/>
      </c>
    </row>
    <row r="299">
      <c r="B299" s="18" t="n"/>
      <c r="F299" s="18" t="n"/>
      <c r="AC299" s="18" t="n"/>
      <c r="AF299" s="18" t="n"/>
      <c r="CZ299" s="19">
        <f>IF(C299="","",COUNTA(AG299,AJ299,AM299,AP299))</f>
        <v/>
      </c>
      <c r="DA299" s="19">
        <f>IF(C299="","",COUNTA(BK299,BM299,BO299,BQ299,BS299,BU299,BW299,BY299))</f>
        <v/>
      </c>
      <c r="DB299" s="19">
        <f>IF(C299="","",COUNTIF(AT299:BJ299,"Yes"))</f>
        <v/>
      </c>
      <c r="DC299" s="19">
        <f>IF(C299="","",COUNTIF(CT299:CX299,"Yes"))</f>
        <v/>
      </c>
    </row>
    <row r="300">
      <c r="B300" s="18" t="n"/>
      <c r="F300" s="18" t="n"/>
      <c r="AC300" s="18" t="n"/>
      <c r="AF300" s="18" t="n"/>
      <c r="CZ300" s="19">
        <f>IF(C300="","",COUNTA(AG300,AJ300,AM300,AP300))</f>
        <v/>
      </c>
      <c r="DA300" s="19">
        <f>IF(C300="","",COUNTA(BK300,BM300,BO300,BQ300,BS300,BU300,BW300,BY300))</f>
        <v/>
      </c>
      <c r="DB300" s="19">
        <f>IF(C300="","",COUNTIF(AT300:BJ300,"Yes"))</f>
        <v/>
      </c>
      <c r="DC300" s="19">
        <f>IF(C300="","",COUNTIF(CT300:CX300,"Yes"))</f>
        <v/>
      </c>
    </row>
  </sheetData>
  <dataValidations count="7">
    <dataValidation sqref="G2:G300" showDropDown="0" showInputMessage="0" showErrorMessage="0" allowBlank="1" type="list">
      <formula1>"Prep,Shooting,Wrap"</formula1>
    </dataValidation>
    <dataValidation sqref="L2:L300" showDropDown="0" showInputMessage="0" showErrorMessage="0" allowBlank="1" type="list">
      <formula1>"Day,Night,Split"</formula1>
    </dataValidation>
    <dataValidation sqref="AB2:AB300 AE2:AE300" showDropDown="0" showInputMessage="0" showErrorMessage="0" allowBlank="1" type="list">
      <formula1>"On Production,Off Production"</formula1>
    </dataValidation>
    <dataValidation sqref="AH2:AH300 AK2:AK300 AN2:AN300 AQ2:AQ300" showDropDown="0" showInputMessage="0" showErrorMessage="0" allowBlank="1" type="list">
      <formula1>"Key,2nd,3rd"</formula1>
    </dataValidation>
    <dataValidation sqref="M2:M300 N2:N300 O2:O300 P2:P300 Q2:Q300 S2:S300 T2:T300 U2:U300 V2:V300 W2:W300 X2:X300 Y2:Y300 Z2:Z300 AT2:AT300 AU2:AU300 AV2:AV300 AW2:AW300 AX2:AX300 AY2:AY300 AZ2:AZ300 BA2:BA300 BB2:BB300 BC2:BC300 BD2:BD300 BE2:BE300 BF2:BF300 BG2:BG300 BH2:BH300 BI2:BI300 BJ2:BJ300 CT2:CT300 CU2:CU300 CV2:CV300 CW2:CW300 CX2:CX300" showDropDown="0" showInputMessage="0" showErrorMessage="0" allowBlank="1" type="list">
      <formula1>"Yes"</formula1>
    </dataValidation>
    <dataValidation sqref="BL2:BL300 BN2:BN300 BP2:BP300 BR2:BR300 BT2:BT300 BV2:BV300 BX2:BX300 BZ2:BZ300" showDropDown="0" showInputMessage="0" showErrorMessage="0" allowBlank="1" type="list">
      <formula1>"Art,Construction,Costumes,Craft Service,Electrical,Greens,Grip,Locations,Medic,Paint,Plaster,Props,Set Dec,Set Teacher,Sound,SPFX,Video"</formula1>
    </dataValidation>
    <dataValidation sqref="CD2:CD300 CG2:CG300 CJ2:CJ300 CM2:CM300 CP2:CP300" showDropDown="0" showInputMessage="0" showErrorMessage="0" allowBlank="1" type="list">
      <formula1>"Small,Medium,Large,X-Large,2X-Large,3X-Large,4X-Large"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3" customWidth="1" min="4" max="4"/>
    <col width="30" customWidth="1" min="5" max="5"/>
    <col width="12" customWidth="1" min="6" max="6"/>
  </cols>
  <sheetData>
    <row r="2">
      <c r="B2" s="20" t="inlineStr">
        <is>
          <t>IATSE Local 479  –  Field Visit Report  –  Stats Dashboard</t>
        </is>
      </c>
    </row>
    <row r="3">
      <c r="B3" s="21" t="inlineStr">
        <is>
          <t>Live stats – recalculates automatically as you add rows in the Visit Log.</t>
        </is>
      </c>
    </row>
    <row r="5">
      <c r="B5" s="22" t="inlineStr">
        <is>
          <t>TOTALS</t>
        </is>
      </c>
      <c r="E5" s="23" t="inlineStr">
        <is>
          <t>BY PRODUCTION PHASE</t>
        </is>
      </c>
    </row>
    <row r="6">
      <c r="B6" s="24" t="inlineStr">
        <is>
          <t>Total Visits Logged</t>
        </is>
      </c>
      <c r="C6" s="25">
        <f>COUNTA('Visit Log'!$A$2:$A$300)</f>
        <v/>
      </c>
      <c r="E6" s="24" t="inlineStr">
        <is>
          <t>Prep</t>
        </is>
      </c>
      <c r="F6" s="26">
        <f>COUNTIF('Visit Log'!$G$2:$G$300,"Prep")</f>
        <v/>
      </c>
    </row>
    <row r="7">
      <c r="B7" s="24" t="inlineStr">
        <is>
          <t>Productions Tracked</t>
        </is>
      </c>
      <c r="C7" s="25">
        <f>SUMPRODUCT(('Visit Log'!$C$2:$C$300&lt;&gt;"")/COUNTIF('Visit Log'!$C$2:$C$300,'Visit Log'!$C$2:$C$300&amp;""))</f>
        <v/>
      </c>
      <c r="E7" s="24" t="inlineStr">
        <is>
          <t>Shooting</t>
        </is>
      </c>
      <c r="F7" s="26">
        <f>COUNTIF('Visit Log'!$G$2:$G$300,"Shooting")</f>
        <v/>
      </c>
    </row>
    <row r="8">
      <c r="B8" s="24" t="inlineStr">
        <is>
          <t>Total Union Crew Logged</t>
        </is>
      </c>
      <c r="C8" s="25">
        <f>SUM('Visit Log'!$CZ$2:$CZ$300)</f>
        <v/>
      </c>
      <c r="E8" s="24" t="inlineStr">
        <is>
          <t>Wrap</t>
        </is>
      </c>
      <c r="F8" s="26">
        <f>COUNTIF('Visit Log'!$G$2:$G$300,"Wrap")</f>
        <v/>
      </c>
    </row>
    <row r="9">
      <c r="B9" s="24" t="inlineStr">
        <is>
          <t>Total Non-Union Logged</t>
        </is>
      </c>
      <c r="C9" s="25">
        <f>SUM('Visit Log'!$DA$2:$DA$300)</f>
        <v/>
      </c>
    </row>
    <row r="10">
      <c r="B10" s="24" t="inlineStr">
        <is>
          <t>Follow-ups Completed</t>
        </is>
      </c>
      <c r="C10" s="25">
        <f>SUM('Visit Log'!$DC$2:$DC$300)</f>
        <v/>
      </c>
      <c r="E10" s="23" t="inlineStr">
        <is>
          <t>BY CREW DAY</t>
        </is>
      </c>
    </row>
    <row r="11">
      <c r="E11" s="24" t="inlineStr">
        <is>
          <t>Day</t>
        </is>
      </c>
      <c r="F11" s="26">
        <f>COUNTIF('Visit Log'!$L$2:$L$300,"Day")</f>
        <v/>
      </c>
    </row>
    <row r="12">
      <c r="B12" s="23" t="inlineStr">
        <is>
          <t>BY REASON FOR VISIT</t>
        </is>
      </c>
      <c r="E12" s="24" t="inlineStr">
        <is>
          <t>Night</t>
        </is>
      </c>
      <c r="F12" s="26">
        <f>COUNTIF('Visit Log'!$L$2:$L$300,"Night")</f>
        <v/>
      </c>
    </row>
    <row r="13">
      <c r="B13" s="24" t="inlineStr">
        <is>
          <t>Routine (contains 'routine')</t>
        </is>
      </c>
      <c r="C13" s="26">
        <f>COUNTIF('Visit Log'!$J$2:$J$300,"*routine*")</f>
        <v/>
      </c>
      <c r="E13" s="24" t="inlineStr">
        <is>
          <t>Split</t>
        </is>
      </c>
      <c r="F13" s="26">
        <f>COUNTIF('Visit Log'!$L$2:$L$300,"Split")</f>
        <v/>
      </c>
    </row>
    <row r="14">
      <c r="B14" s="24" t="inlineStr">
        <is>
          <t>Issue (contains 'issue')</t>
        </is>
      </c>
      <c r="C14" s="26">
        <f>COUNTIF('Visit Log'!$J$2:$J$300,"*issue*")</f>
        <v/>
      </c>
    </row>
    <row r="16">
      <c r="B16" s="23" t="inlineStr">
        <is>
          <t>AREAS VISITED</t>
        </is>
      </c>
      <c r="E16" s="23" t="inlineStr">
        <is>
          <t>WEATHER CONDITIONS</t>
        </is>
      </c>
    </row>
    <row r="17">
      <c r="B17" s="24" t="inlineStr">
        <is>
          <t>Stage</t>
        </is>
      </c>
      <c r="C17" s="26">
        <f>COUNTIF('Visit Log'!$M$2:$M$300,"Yes")</f>
        <v/>
      </c>
      <c r="E17" s="24" t="inlineStr">
        <is>
          <t>Sunny</t>
        </is>
      </c>
      <c r="F17" s="26">
        <f>COUNTIF('Visit Log'!$S$2:$S$300,"Yes")</f>
        <v/>
      </c>
    </row>
    <row r="18">
      <c r="B18" s="24" t="inlineStr">
        <is>
          <t>Location</t>
        </is>
      </c>
      <c r="C18" s="26">
        <f>COUNTIF('Visit Log'!$N$2:$N$300,"Yes")</f>
        <v/>
      </c>
      <c r="E18" s="24" t="inlineStr">
        <is>
          <t>Cloudy</t>
        </is>
      </c>
      <c r="F18" s="26">
        <f>COUNTIF('Visit Log'!$T$2:$T$300,"Yes")</f>
        <v/>
      </c>
    </row>
    <row r="19">
      <c r="B19" s="24" t="inlineStr">
        <is>
          <t>Mill</t>
        </is>
      </c>
      <c r="C19" s="26">
        <f>COUNTIF('Visit Log'!$O$2:$O$300,"Yes")</f>
        <v/>
      </c>
      <c r="E19" s="24" t="inlineStr">
        <is>
          <t>Rain</t>
        </is>
      </c>
      <c r="F19" s="26">
        <f>COUNTIF('Visit Log'!$U$2:$U$300,"Yes")</f>
        <v/>
      </c>
    </row>
    <row r="20">
      <c r="B20" s="24" t="inlineStr">
        <is>
          <t>Lockup</t>
        </is>
      </c>
      <c r="C20" s="26">
        <f>COUNTIF('Visit Log'!$P$2:$P$300,"Yes")</f>
        <v/>
      </c>
      <c r="E20" s="24" t="inlineStr">
        <is>
          <t>Snow</t>
        </is>
      </c>
      <c r="F20" s="26">
        <f>COUNTIF('Visit Log'!$V$2:$V$300,"Yes")</f>
        <v/>
      </c>
    </row>
    <row r="21">
      <c r="B21" s="24" t="inlineStr">
        <is>
          <t>Other</t>
        </is>
      </c>
      <c r="C21" s="26">
        <f>COUNTIF('Visit Log'!$Q$2:$Q$300,"Yes")</f>
        <v/>
      </c>
      <c r="E21" s="24" t="inlineStr">
        <is>
          <t>Lightning</t>
        </is>
      </c>
      <c r="F21" s="26">
        <f>COUNTIF('Visit Log'!$W$2:$W$300,"Yes")</f>
        <v/>
      </c>
    </row>
    <row r="22">
      <c r="E22" s="24" t="inlineStr">
        <is>
          <t>Winds</t>
        </is>
      </c>
      <c r="F22" s="26">
        <f>COUNTIF('Visit Log'!$X$2:$X$300,"Yes")</f>
        <v/>
      </c>
    </row>
    <row r="23">
      <c r="E23" s="24" t="inlineStr">
        <is>
          <t>Extreme Cold</t>
        </is>
      </c>
      <c r="F23" s="26">
        <f>COUNTIF('Visit Log'!$Y$2:$Y$300,"Yes")</f>
        <v/>
      </c>
    </row>
    <row r="24">
      <c r="E24" s="24" t="inlineStr">
        <is>
          <t>Extreme Heat</t>
        </is>
      </c>
      <c r="F24" s="26">
        <f>COUNTIF('Visit Log'!$Z$2:$Z$300,"Yes")</f>
        <v/>
      </c>
    </row>
    <row r="26">
      <c r="B26" s="27" t="inlineStr">
        <is>
          <t>DEPARTMENTS VISITED (frequency)</t>
        </is>
      </c>
      <c r="E26" s="27" t="inlineStr">
        <is>
          <t>DEPARTMENTS (cont.)</t>
        </is>
      </c>
    </row>
    <row r="27">
      <c r="B27" s="24" t="inlineStr">
        <is>
          <t>Art</t>
        </is>
      </c>
      <c r="C27" s="26">
        <f>COUNTIF('Visit Log'!$AT$2:$AT$300,"Yes")</f>
        <v/>
      </c>
      <c r="E27" s="24" t="inlineStr">
        <is>
          <t>Paint</t>
        </is>
      </c>
      <c r="F27" s="26">
        <f>COUNTIF('Visit Log'!$BC$2:$BC$300,"Yes")</f>
        <v/>
      </c>
    </row>
    <row r="28">
      <c r="B28" s="24" t="inlineStr">
        <is>
          <t>Construction</t>
        </is>
      </c>
      <c r="C28" s="26">
        <f>COUNTIF('Visit Log'!$AU$2:$AU$300,"Yes")</f>
        <v/>
      </c>
      <c r="E28" s="24" t="inlineStr">
        <is>
          <t>Plaster</t>
        </is>
      </c>
      <c r="F28" s="26">
        <f>COUNTIF('Visit Log'!$BD$2:$BD$300,"Yes")</f>
        <v/>
      </c>
    </row>
    <row r="29">
      <c r="B29" s="24" t="inlineStr">
        <is>
          <t>Costumes</t>
        </is>
      </c>
      <c r="C29" s="26">
        <f>COUNTIF('Visit Log'!$AV$2:$AV$300,"Yes")</f>
        <v/>
      </c>
      <c r="E29" s="24" t="inlineStr">
        <is>
          <t>Props</t>
        </is>
      </c>
      <c r="F29" s="26">
        <f>COUNTIF('Visit Log'!$BE$2:$BE$300,"Yes")</f>
        <v/>
      </c>
    </row>
    <row r="30">
      <c r="B30" s="24" t="inlineStr">
        <is>
          <t>Craft Service</t>
        </is>
      </c>
      <c r="C30" s="26">
        <f>COUNTIF('Visit Log'!$AW$2:$AW$300,"Yes")</f>
        <v/>
      </c>
      <c r="E30" s="24" t="inlineStr">
        <is>
          <t>Set Dec</t>
        </is>
      </c>
      <c r="F30" s="26">
        <f>COUNTIF('Visit Log'!$BF$2:$BF$300,"Yes")</f>
        <v/>
      </c>
    </row>
    <row r="31">
      <c r="B31" s="24" t="inlineStr">
        <is>
          <t>Electrical</t>
        </is>
      </c>
      <c r="C31" s="26">
        <f>COUNTIF('Visit Log'!$AX$2:$AX$300,"Yes")</f>
        <v/>
      </c>
      <c r="E31" s="24" t="inlineStr">
        <is>
          <t>Set Teacher</t>
        </is>
      </c>
      <c r="F31" s="26">
        <f>COUNTIF('Visit Log'!$BG$2:$BG$300,"Yes")</f>
        <v/>
      </c>
    </row>
    <row r="32">
      <c r="B32" s="24" t="inlineStr">
        <is>
          <t>Greens</t>
        </is>
      </c>
      <c r="C32" s="26">
        <f>COUNTIF('Visit Log'!$AY$2:$AY$300,"Yes")</f>
        <v/>
      </c>
      <c r="E32" s="24" t="inlineStr">
        <is>
          <t>Sound</t>
        </is>
      </c>
      <c r="F32" s="26">
        <f>COUNTIF('Visit Log'!$BH$2:$BH$300,"Yes")</f>
        <v/>
      </c>
    </row>
    <row r="33">
      <c r="B33" s="24" t="inlineStr">
        <is>
          <t>Grip</t>
        </is>
      </c>
      <c r="C33" s="26">
        <f>COUNTIF('Visit Log'!$AZ$2:$AZ$300,"Yes")</f>
        <v/>
      </c>
      <c r="E33" s="24" t="inlineStr">
        <is>
          <t>SPFX</t>
        </is>
      </c>
      <c r="F33" s="26">
        <f>COUNTIF('Visit Log'!$BI$2:$BI$300,"Yes")</f>
        <v/>
      </c>
    </row>
    <row r="34">
      <c r="B34" s="24" t="inlineStr">
        <is>
          <t>Locations</t>
        </is>
      </c>
      <c r="C34" s="26">
        <f>COUNTIF('Visit Log'!$BA$2:$BA$300,"Yes")</f>
        <v/>
      </c>
      <c r="E34" s="24" t="inlineStr">
        <is>
          <t>Video</t>
        </is>
      </c>
      <c r="F34" s="26">
        <f>COUNTIF('Visit Log'!$BJ$2:$BJ$300,"Yes")</f>
        <v/>
      </c>
    </row>
    <row r="35">
      <c r="B35" s="24" t="inlineStr">
        <is>
          <t>Medic</t>
        </is>
      </c>
      <c r="C35" s="26">
        <f>COUNTIF('Visit Log'!$BB$2:$BB$300,"Yes")</f>
        <v/>
      </c>
    </row>
    <row r="36">
      <c r="B36" s="28" t="inlineStr">
        <is>
          <t>FOLLOW-UP COMPLETION</t>
        </is>
      </c>
      <c r="E36" s="29" t="inlineStr">
        <is>
          <t>VISITS BY MONTH</t>
        </is>
      </c>
    </row>
    <row r="37">
      <c r="B37" s="24" t="inlineStr">
        <is>
          <t>IATSE Project Info Sheet</t>
        </is>
      </c>
      <c r="C37" s="26">
        <f>COUNTIF('Visit Log'!$CT$2:$CT$300,"Yes")</f>
        <v/>
      </c>
      <c r="E37" s="30" t="inlineStr">
        <is>
          <t>Year:</t>
        </is>
      </c>
      <c r="F37" s="31" t="n">
        <v>2026</v>
      </c>
    </row>
    <row r="38">
      <c r="B38" s="24" t="inlineStr">
        <is>
          <t>Current Crewlist</t>
        </is>
      </c>
      <c r="C38" s="26">
        <f>COUNTIF('Visit Log'!$CU$2:$CU$300,"Yes")</f>
        <v/>
      </c>
      <c r="E38" s="24" t="inlineStr">
        <is>
          <t>Jan</t>
        </is>
      </c>
      <c r="F38" s="26">
        <f>COUNTIFS('Visit Log'!$B$2:$B$300,"&gt;="&amp;DATE($F$37,1,1),'Visit Log'!$B$2:$B$300,"&lt;"&amp;DATE($F$37,2,1))</f>
        <v/>
      </c>
    </row>
    <row r="39">
      <c r="B39" s="24" t="inlineStr">
        <is>
          <t>479 Roster Provided</t>
        </is>
      </c>
      <c r="C39" s="26">
        <f>COUNTIF('Visit Log'!$CV$2:$CV$300,"Yes")</f>
        <v/>
      </c>
      <c r="E39" s="24" t="inlineStr">
        <is>
          <t>Feb</t>
        </is>
      </c>
      <c r="F39" s="26">
        <f>COUNTIFS('Visit Log'!$B$2:$B$300,"&gt;="&amp;DATE($F$37,2,1),'Visit Log'!$B$2:$B$300,"&lt;"&amp;DATE($F$37,3,1))</f>
        <v/>
      </c>
    </row>
    <row r="40">
      <c r="B40" s="24" t="inlineStr">
        <is>
          <t>Availability List Provided</t>
        </is>
      </c>
      <c r="C40" s="26">
        <f>COUNTIF('Visit Log'!$CW$2:$CW$300,"Yes")</f>
        <v/>
      </c>
      <c r="E40" s="24" t="inlineStr">
        <is>
          <t>Mar</t>
        </is>
      </c>
      <c r="F40" s="26">
        <f>COUNTIFS('Visit Log'!$B$2:$B$300,"&gt;="&amp;DATE($F$37,3,1),'Visit Log'!$B$2:$B$300,"&lt;"&amp;DATE($F$37,4,1))</f>
        <v/>
      </c>
    </row>
    <row r="41">
      <c r="B41" s="24" t="inlineStr">
        <is>
          <t>Lunch Reporting Schedule</t>
        </is>
      </c>
      <c r="C41" s="26">
        <f>COUNTIF('Visit Log'!$CX$2:$CX$300,"Yes")</f>
        <v/>
      </c>
      <c r="E41" s="24" t="inlineStr">
        <is>
          <t>Apr</t>
        </is>
      </c>
      <c r="F41" s="26">
        <f>COUNTIFS('Visit Log'!$B$2:$B$300,"&gt;="&amp;DATE($F$37,4,1),'Visit Log'!$B$2:$B$300,"&lt;"&amp;DATE($F$37,5,1))</f>
        <v/>
      </c>
    </row>
    <row r="42">
      <c r="E42" s="24" t="inlineStr">
        <is>
          <t>May</t>
        </is>
      </c>
      <c r="F42" s="26">
        <f>COUNTIFS('Visit Log'!$B$2:$B$300,"&gt;="&amp;DATE($F$37,5,1),'Visit Log'!$B$2:$B$300,"&lt;"&amp;DATE($F$37,6,1))</f>
        <v/>
      </c>
    </row>
    <row r="43">
      <c r="E43" s="24" t="inlineStr">
        <is>
          <t>Jun</t>
        </is>
      </c>
      <c r="F43" s="26">
        <f>COUNTIFS('Visit Log'!$B$2:$B$300,"&gt;="&amp;DATE($F$37,6,1),'Visit Log'!$B$2:$B$300,"&lt;"&amp;DATE($F$37,7,1))</f>
        <v/>
      </c>
    </row>
    <row r="44">
      <c r="E44" s="24" t="inlineStr">
        <is>
          <t>Jul</t>
        </is>
      </c>
      <c r="F44" s="26">
        <f>COUNTIFS('Visit Log'!$B$2:$B$300,"&gt;="&amp;DATE($F$37,7,1),'Visit Log'!$B$2:$B$300,"&lt;"&amp;DATE($F$37,8,1))</f>
        <v/>
      </c>
    </row>
    <row r="45">
      <c r="E45" s="24" t="inlineStr">
        <is>
          <t>Aug</t>
        </is>
      </c>
      <c r="F45" s="26">
        <f>COUNTIFS('Visit Log'!$B$2:$B$300,"&gt;="&amp;DATE($F$37,8,1),'Visit Log'!$B$2:$B$300,"&lt;"&amp;DATE($F$37,9,1))</f>
        <v/>
      </c>
    </row>
    <row r="46">
      <c r="E46" s="24" t="inlineStr">
        <is>
          <t>Sep</t>
        </is>
      </c>
      <c r="F46" s="26">
        <f>COUNTIFS('Visit Log'!$B$2:$B$300,"&gt;="&amp;DATE($F$37,9,1),'Visit Log'!$B$2:$B$300,"&lt;"&amp;DATE($F$37,10,1))</f>
        <v/>
      </c>
    </row>
    <row r="47">
      <c r="E47" s="24" t="inlineStr">
        <is>
          <t>Oct</t>
        </is>
      </c>
      <c r="F47" s="26">
        <f>COUNTIFS('Visit Log'!$B$2:$B$300,"&gt;="&amp;DATE($F$37,10,1),'Visit Log'!$B$2:$B$300,"&lt;"&amp;DATE($F$37,11,1))</f>
        <v/>
      </c>
    </row>
    <row r="48">
      <c r="E48" s="24" t="inlineStr">
        <is>
          <t>Nov</t>
        </is>
      </c>
      <c r="F48" s="26">
        <f>COUNTIFS('Visit Log'!$B$2:$B$300,"&gt;="&amp;DATE($F$37,11,1),'Visit Log'!$B$2:$B$300,"&lt;"&amp;DATE($F$37,12,1))</f>
        <v/>
      </c>
    </row>
    <row r="49">
      <c r="E49" s="24" t="inlineStr">
        <is>
          <t>Dec</t>
        </is>
      </c>
      <c r="F49" s="26">
        <f>COUNTIFS('Visit Log'!$B$2:$B$300,"&gt;="&amp;DATE($F$37,12,1),'Visit Log'!$B$2:$B$300,"&lt;"&amp;DATE($F$37,13,1))</f>
        <v/>
      </c>
    </row>
    <row r="50">
      <c r="B50" s="23" t="inlineStr">
        <is>
          <t>VISITS BY PRODUCTION  (type a title in col B)</t>
        </is>
      </c>
    </row>
    <row r="51">
      <c r="B51" s="32" t="inlineStr">
        <is>
          <t>Production Title</t>
        </is>
      </c>
      <c r="C51" s="32" t="inlineStr">
        <is>
          <t>Visits</t>
        </is>
      </c>
    </row>
    <row r="52">
      <c r="B52" s="33" t="inlineStr">
        <is>
          <t>Northern Lights (S2)</t>
        </is>
      </c>
      <c r="C52" s="34">
        <f>IF(B52="","",COUNTIF('Visit Log'!$C$2:$C$300,B52))</f>
        <v/>
      </c>
    </row>
    <row r="53">
      <c r="B53" s="35" t="n"/>
      <c r="C53" s="34">
        <f>IF(B53="","",COUNTIF('Visit Log'!$C$2:$C$300,B53))</f>
        <v/>
      </c>
    </row>
    <row r="54">
      <c r="B54" s="35" t="n"/>
      <c r="C54" s="34">
        <f>IF(B54="","",COUNTIF('Visit Log'!$C$2:$C$300,B54))</f>
        <v/>
      </c>
    </row>
    <row r="55">
      <c r="B55" s="35" t="n"/>
      <c r="C55" s="34">
        <f>IF(B55="","",COUNTIF('Visit Log'!$C$2:$C$300,B55))</f>
        <v/>
      </c>
    </row>
    <row r="56">
      <c r="B56" s="35" t="n"/>
      <c r="C56" s="34">
        <f>IF(B56="","",COUNTIF('Visit Log'!$C$2:$C$300,B56))</f>
        <v/>
      </c>
    </row>
    <row r="57">
      <c r="B57" s="35" t="n"/>
      <c r="C57" s="34">
        <f>IF(B57="","",COUNTIF('Visit Log'!$C$2:$C$300,B57))</f>
        <v/>
      </c>
    </row>
    <row r="58">
      <c r="B58" s="35" t="n"/>
      <c r="C58" s="34">
        <f>IF(B58="","",COUNTIF('Visit Log'!$C$2:$C$300,B58))</f>
        <v/>
      </c>
    </row>
    <row r="59">
      <c r="B59" s="35" t="n"/>
      <c r="C59" s="34">
        <f>IF(B59="","",COUNTIF('Visit Log'!$C$2:$C$300,B59))</f>
        <v/>
      </c>
    </row>
    <row r="60">
      <c r="B60" s="35" t="n"/>
      <c r="C60" s="34">
        <f>IF(B60="","",COUNTIF('Visit Log'!$C$2:$C$300,B60))</f>
        <v/>
      </c>
    </row>
    <row r="61">
      <c r="B61" s="35" t="n"/>
      <c r="C61" s="34">
        <f>IF(B61="","",COUNTIF('Visit Log'!$C$2:$C$300,B61))</f>
        <v/>
      </c>
    </row>
    <row r="62">
      <c r="B62" s="35" t="n"/>
      <c r="C62" s="34">
        <f>IF(B62="","",COUNTIF('Visit Log'!$C$2:$C$300,B62))</f>
        <v/>
      </c>
    </row>
    <row r="63">
      <c r="B63" s="35" t="n"/>
      <c r="C63" s="34">
        <f>IF(B63="","",COUNTIF('Visit Log'!$C$2:$C$300,B63))</f>
        <v/>
      </c>
    </row>
    <row r="64">
      <c r="B64" s="35" t="n"/>
      <c r="C64" s="34">
        <f>IF(B64="","",COUNTIF('Visit Log'!$C$2:$C$300,B64))</f>
        <v/>
      </c>
    </row>
    <row r="65">
      <c r="B65" s="35" t="n"/>
      <c r="C65" s="34">
        <f>IF(B65="","",COUNTIF('Visit Log'!$C$2:$C$300,B65))</f>
        <v/>
      </c>
    </row>
    <row r="66">
      <c r="B66" s="35" t="n"/>
      <c r="C66" s="34">
        <f>IF(B66="","",COUNTIF('Visit Log'!$C$2:$C$300,B66))</f>
        <v/>
      </c>
    </row>
    <row r="67">
      <c r="B67" s="35" t="n"/>
      <c r="C67" s="34">
        <f>IF(B67="","",COUNTIF('Visit Log'!$C$2:$C$300,B67))</f>
        <v/>
      </c>
    </row>
    <row r="68">
      <c r="B68" s="35" t="n"/>
      <c r="C68" s="34">
        <f>IF(B68="","",COUNTIF('Visit Log'!$C$2:$C$300,B68))</f>
        <v/>
      </c>
    </row>
    <row r="69">
      <c r="B69" s="35" t="n"/>
      <c r="C69" s="34">
        <f>IF(B69="","",COUNTIF('Visit Log'!$C$2:$C$300,B69))</f>
        <v/>
      </c>
    </row>
    <row r="70">
      <c r="B70" s="35" t="n"/>
      <c r="C70" s="34">
        <f>IF(B70="","",COUNTIF('Visit Log'!$C$2:$C$300,B70))</f>
        <v/>
      </c>
    </row>
    <row r="71">
      <c r="B71" s="35" t="n"/>
      <c r="C71" s="34">
        <f>IF(B71="","",COUNTIF('Visit Log'!$C$2:$C$300,B71))</f>
        <v/>
      </c>
    </row>
  </sheetData>
  <mergeCells count="13">
    <mergeCell ref="B16:C16"/>
    <mergeCell ref="E16:F16"/>
    <mergeCell ref="B2:F2"/>
    <mergeCell ref="E10:F10"/>
    <mergeCell ref="B5:C5"/>
    <mergeCell ref="B3:F3"/>
    <mergeCell ref="E5:F5"/>
    <mergeCell ref="B36:C36"/>
    <mergeCell ref="E36:F36"/>
    <mergeCell ref="B50:C50"/>
    <mergeCell ref="B26:C26"/>
    <mergeCell ref="E26:F2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2026-07-17T23:01:04Z</dcterms:created>
  <dcterms:modified xsi:type="dcterms:W3CDTF">2026-07-17T23:01:04Z</dcterms:modified>
</cp:coreProperties>
</file>