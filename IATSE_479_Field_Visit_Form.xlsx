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Instructions" sheetId="1" state="visible" r:id="rId1"/>
    <sheet name="Visit Form" sheetId="2" state="visible" r:id="rId2"/>
    <sheet name="Field Rep Summary" sheetId="3" state="visible" r:id="rId3"/>
    <sheet name="Visit Log" sheetId="4" state="visible" r:id="rId4"/>
  </sheets>
  <definedNames>
    <definedName name="_xlnm.Print_Area" localSheetId="1">'Visit Form'!$A$1:$H$38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1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i val="1"/>
      <color rgb="009A6A00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3864"/>
      <sz val="10"/>
    </font>
    <font>
      <name val="Arial"/>
      <b val="1"/>
      <color rgb="00FFFFFF"/>
      <sz val="14"/>
    </font>
    <font>
      <name val="Arial"/>
      <b val="1"/>
      <color rgb="001F3864"/>
      <sz val="11"/>
    </font>
    <font>
      <name val="Arial"/>
      <b val="1"/>
      <sz val="9"/>
    </font>
    <font>
      <name val="Arial"/>
      <b val="1"/>
      <color rgb="000000FF"/>
      <sz val="11"/>
    </font>
    <font>
      <name val="Arial"/>
      <i val="1"/>
      <color rgb="00888888"/>
      <sz val="8"/>
    </font>
    <font>
      <name val="Arial"/>
      <color rgb="00666666"/>
      <sz val="7.5"/>
    </font>
    <font>
      <name val="Arial"/>
      <color rgb="00000000"/>
      <sz val="10"/>
    </font>
    <font>
      <name val="Arial"/>
      <sz val="8"/>
    </font>
    <font>
      <name val="Arial"/>
      <b val="1"/>
      <color rgb="001E7145"/>
      <sz val="11"/>
    </font>
    <font>
      <name val="Arial"/>
      <i val="1"/>
      <color rgb="00888888"/>
      <sz val="7.5"/>
    </font>
    <font>
      <name val="Arial"/>
      <b val="1"/>
      <color rgb="001F3864"/>
      <sz val="16"/>
    </font>
    <font>
      <name val="Arial"/>
      <sz val="11"/>
    </font>
    <font>
      <name val="Arial"/>
      <b val="1"/>
      <sz val="11"/>
    </font>
    <font>
      <name val="Arial"/>
      <b val="1"/>
      <color rgb="001F3864"/>
      <sz val="12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1E7145"/>
      </patternFill>
    </fill>
    <fill>
      <patternFill patternType="solid">
        <fgColor rgb="009C4A00"/>
      </patternFill>
    </fill>
    <fill>
      <patternFill patternType="solid">
        <fgColor rgb="006B2E8F"/>
      </patternFill>
    </fill>
    <fill>
      <patternFill patternType="solid">
        <fgColor rgb="008A1C2B"/>
      </patternFill>
    </fill>
    <fill>
      <patternFill patternType="solid">
        <fgColor rgb="00555555"/>
      </patternFill>
    </fill>
    <fill>
      <patternFill patternType="solid">
        <fgColor rgb="00EFEFEF"/>
      </patternFill>
    </fill>
    <fill>
      <patternFill patternType="solid">
        <fgColor rgb="00EAF3EA"/>
      </patternFill>
    </fill>
    <fill>
      <patternFill patternType="solid">
        <fgColor rgb="00FFFF00"/>
      </patternFill>
    </fill>
    <fill>
      <patternFill patternType="solid">
        <fgColor rgb="00FFFDE7"/>
      </patternFill>
    </fill>
  </fills>
  <borders count="8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/>
      <right/>
      <top style="thin">
        <color rgb="00B0B0B0"/>
      </top>
      <bottom/>
      <diagonal/>
    </border>
    <border>
      <left style="thin">
        <color rgb="00B0B0B0"/>
      </left>
      <right/>
      <top/>
      <bottom/>
      <diagonal/>
    </border>
    <border>
      <left/>
      <right style="thin">
        <color rgb="00B0B0B0"/>
      </right>
      <top style="thin">
        <color rgb="00B0B0B0"/>
      </top>
      <bottom/>
      <diagonal/>
    </border>
    <border>
      <left/>
      <right style="thin">
        <color rgb="00B0B0B0"/>
      </right>
      <top/>
      <bottom/>
      <diagonal/>
    </border>
    <border>
      <left style="thin">
        <color rgb="00B0B0B0"/>
      </left>
      <right/>
      <top/>
      <bottom style="thin">
        <color rgb="00B0B0B0"/>
      </bottom>
      <diagonal/>
    </border>
    <border>
      <left/>
      <right style="thin">
        <color rgb="00B0B0B0"/>
      </right>
      <top/>
      <bottom style="thin">
        <color rgb="00B0B0B0"/>
      </bottom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7" fillId="0" borderId="0" pivotButton="0" quotePrefix="0" xfId="0"/>
    <xf numFmtId="0" fontId="18" fillId="0" borderId="0" applyAlignment="1" pivotButton="0" quotePrefix="0" xfId="0">
      <alignment vertical="top" wrapText="1"/>
    </xf>
    <xf numFmtId="0" fontId="19" fillId="0" borderId="0" applyAlignment="1" pivotButton="0" quotePrefix="0" xfId="0">
      <alignment vertical="top" wrapText="1"/>
    </xf>
    <xf numFmtId="0" fontId="20" fillId="0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right"/>
    </xf>
    <xf numFmtId="0" fontId="10" fillId="11" borderId="1" applyAlignment="1" pivotButton="0" quotePrefix="0" xfId="0">
      <alignment horizontal="center"/>
    </xf>
    <xf numFmtId="0" fontId="11" fillId="0" borderId="0" applyAlignment="1" pivotButton="0" quotePrefix="0" xfId="0">
      <alignment horizontal="left" indent="1"/>
    </xf>
    <xf numFmtId="0" fontId="1" fillId="3" borderId="0" applyAlignment="1" pivotButton="0" quotePrefix="0" xfId="0">
      <alignment horizontal="left" vertical="center" indent="1"/>
    </xf>
    <xf numFmtId="0" fontId="12" fillId="0" borderId="0" applyAlignment="1" pivotButton="0" quotePrefix="0" xfId="0">
      <alignment horizontal="left" vertical="bottom" indent="1"/>
    </xf>
    <xf numFmtId="0" fontId="13" fillId="12" borderId="1" applyAlignment="1" pivotButton="0" quotePrefix="0" xfId="0">
      <alignment horizontal="left" vertical="center" wrapText="1" indent="1"/>
    </xf>
    <xf numFmtId="0" fontId="12" fillId="0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/>
    </xf>
    <xf numFmtId="0" fontId="14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left" vertical="center" indent="1"/>
    </xf>
    <xf numFmtId="0" fontId="1" fillId="4" borderId="0" applyAlignment="1" pivotButton="0" quotePrefix="0" xfId="0">
      <alignment horizontal="left" vertical="center" indent="1"/>
    </xf>
    <xf numFmtId="0" fontId="1" fillId="7" borderId="0" applyAlignment="1" pivotButton="0" quotePrefix="0" xfId="0">
      <alignment horizontal="left" vertical="center" indent="1"/>
    </xf>
    <xf numFmtId="0" fontId="1" fillId="7" borderId="1" applyAlignment="1" pivotButton="0" quotePrefix="0" xfId="0">
      <alignment horizontal="left" vertical="center" indent="1"/>
    </xf>
    <xf numFmtId="0" fontId="0" fillId="0" borderId="4" pivotButton="0" quotePrefix="0" xfId="0"/>
    <xf numFmtId="0" fontId="15" fillId="12" borderId="1" applyAlignment="1" pivotButton="0" quotePrefix="0" xfId="0">
      <alignment horizontal="left" vertical="center" indent="1"/>
    </xf>
    <xf numFmtId="0" fontId="0" fillId="0" borderId="6" pivotButton="0" quotePrefix="0" xfId="0"/>
    <xf numFmtId="0" fontId="0" fillId="0" borderId="7" pivotButton="0" quotePrefix="0" xfId="0"/>
    <xf numFmtId="0" fontId="16" fillId="0" borderId="0" applyAlignment="1" pivotButton="0" quotePrefix="0" xfId="0">
      <alignment horizontal="center"/>
    </xf>
    <xf numFmtId="0" fontId="4" fillId="4" borderId="1" applyAlignment="1" pivotButton="0" quotePrefix="0" xfId="0">
      <alignment horizontal="center" vertical="center"/>
    </xf>
    <xf numFmtId="0" fontId="4" fillId="2" borderId="0" pivotButton="0" quotePrefix="0" xfId="0"/>
    <xf numFmtId="0" fontId="0" fillId="2" borderId="0" pivotButton="0" quotePrefix="0" xfId="0"/>
    <xf numFmtId="0" fontId="5" fillId="10" borderId="1" pivotButton="0" quotePrefix="0" xfId="0"/>
    <xf numFmtId="164" fontId="5" fillId="10" borderId="1" pivotButton="0" quotePrefix="0" xfId="0"/>
    <xf numFmtId="0" fontId="5" fillId="0" borderId="0" pivotButton="0" quotePrefix="0" xfId="0"/>
    <xf numFmtId="1" fontId="6" fillId="0" borderId="0" applyAlignment="1" pivotButton="0" quotePrefix="0" xfId="0">
      <alignment horizontal="center"/>
    </xf>
    <xf numFmtId="0" fontId="5" fillId="0" borderId="1" pivotButton="0" quotePrefix="0" xfId="0"/>
    <xf numFmtId="164" fontId="5" fillId="0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3" fillId="0" borderId="0" pivotButton="0" quotePrefix="0" xfId="0"/>
    <xf numFmtId="164" fontId="3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1" fontId="2" fillId="9" borderId="0" pivotButton="0" quotePrefix="0" xfId="0"/>
    <xf numFmtId="164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Form</author>
  </authors>
  <commentList>
    <comment ref="A1" authorId="0" shapeId="0">
      <text>
        <t>Unique ID per visit, e.g. 2026-001. One row = one set visit.</t>
      </text>
    </comment>
    <comment ref="B1" authorId="0" shapeId="0">
      <text>
        <t>Enter a real date (2026-07-15) so monthly stats work.</t>
      </text>
    </comment>
    <comment ref="D1" authorId="0" shapeId="0">
      <text>
        <t>Where you physically went, e.g. 'Stage 4, Pinewood' or a location address.</t>
      </text>
    </comment>
    <comment ref="H1" authorId="0" shapeId="0">
      <text>
        <t>Prep / Shooting / Wrap</t>
      </text>
    </comment>
    <comment ref="K1" authorId="0" shapeId="0">
      <text>
        <t>routine / issue</t>
      </text>
    </comment>
    <comment ref="M1" authorId="0" shapeId="0">
      <text>
        <t>Day / Night / Split</t>
      </text>
    </comment>
    <comment ref="N1" authorId="0" shapeId="0">
      <text>
        <t>Enter Yes if this area was visited.</t>
      </text>
    </comment>
    <comment ref="O1" authorId="0" shapeId="0">
      <text>
        <t>Enter Yes if this area was visited.</t>
      </text>
    </comment>
    <comment ref="P1" authorId="0" shapeId="0">
      <text>
        <t>Enter Yes if this area was visited.</t>
      </text>
    </comment>
    <comment ref="Q1" authorId="0" shapeId="0">
      <text>
        <t>Enter Yes if this area was visited.</t>
      </text>
    </comment>
    <comment ref="R1" authorId="0" shapeId="0">
      <text>
        <t>Enter Yes if this area was visited.</t>
      </text>
    </comment>
    <comment ref="T1" authorId="0" shapeId="0">
      <text>
        <t>How you documented the visit, e.g. 'Emailed production'.</t>
      </text>
    </comment>
    <comment ref="U1" authorId="0" shapeId="0">
      <text>
        <t>Enter Yes if this weather applied.</t>
      </text>
    </comment>
    <comment ref="V1" authorId="0" shapeId="0">
      <text>
        <t>Enter Yes if this weather applied.</t>
      </text>
    </comment>
    <comment ref="W1" authorId="0" shapeId="0">
      <text>
        <t>Enter Yes if this weather applied.</t>
      </text>
    </comment>
    <comment ref="X1" authorId="0" shapeId="0">
      <text>
        <t>Enter Yes if this weather applied.</t>
      </text>
    </comment>
    <comment ref="Y1" authorId="0" shapeId="0">
      <text>
        <t>Enter Yes if this weather applied.</t>
      </text>
    </comment>
    <comment ref="Z1" authorId="0" shapeId="0">
      <text>
        <t>Enter Yes if this weather applied.</t>
      </text>
    </comment>
    <comment ref="AA1" authorId="0" shapeId="0">
      <text>
        <t>Enter Yes if this weather applied.</t>
      </text>
    </comment>
    <comment ref="AB1" authorId="0" shapeId="0">
      <text>
        <t>Enter Yes if this weather applied.</t>
      </text>
    </comment>
    <comment ref="AJ1" authorId="0" shapeId="0">
      <text>
        <t>Key / 2nd / 3rd</t>
      </text>
    </comment>
    <comment ref="AM1" authorId="0" shapeId="0">
      <text>
        <t>Key / 2nd / 3rd</t>
      </text>
    </comment>
    <comment ref="AP1" authorId="0" shapeId="0">
      <text>
        <t>Key / 2nd / 3rd</t>
      </text>
    </comment>
    <comment ref="AS1" authorId="0" shapeId="0">
      <text>
        <t>Key / 2nd / 3rd</t>
      </text>
    </comment>
    <comment ref="AV1" authorId="0" shapeId="0">
      <text>
        <t>Enter Yes if you saw this department.</t>
      </text>
    </comment>
    <comment ref="AW1" authorId="0" shapeId="0">
      <text>
        <t>Enter Yes if you saw this department.</t>
      </text>
    </comment>
    <comment ref="AX1" authorId="0" shapeId="0">
      <text>
        <t>Enter Yes if you saw this department.</t>
      </text>
    </comment>
    <comment ref="AY1" authorId="0" shapeId="0">
      <text>
        <t>Enter Yes if you saw this department.</t>
      </text>
    </comment>
    <comment ref="AZ1" authorId="0" shapeId="0">
      <text>
        <t>Enter Yes if you saw this department.</t>
      </text>
    </comment>
    <comment ref="BA1" authorId="0" shapeId="0">
      <text>
        <t>Enter Yes if you saw this department.</t>
      </text>
    </comment>
    <comment ref="BB1" authorId="0" shapeId="0">
      <text>
        <t>Enter Yes if you saw this department.</t>
      </text>
    </comment>
    <comment ref="BC1" authorId="0" shapeId="0">
      <text>
        <t>Enter Yes if you saw this department.</t>
      </text>
    </comment>
    <comment ref="BD1" authorId="0" shapeId="0">
      <text>
        <t>Enter Yes if you saw this department.</t>
      </text>
    </comment>
    <comment ref="BE1" authorId="0" shapeId="0">
      <text>
        <t>Enter Yes if you saw this department.</t>
      </text>
    </comment>
    <comment ref="BF1" authorId="0" shapeId="0">
      <text>
        <t>Enter Yes if you saw this department.</t>
      </text>
    </comment>
    <comment ref="BG1" authorId="0" shapeId="0">
      <text>
        <t>Enter Yes if you saw this department.</t>
      </text>
    </comment>
    <comment ref="BH1" authorId="0" shapeId="0">
      <text>
        <t>Enter Yes if you saw this department.</t>
      </text>
    </comment>
    <comment ref="BI1" authorId="0" shapeId="0">
      <text>
        <t>Enter Yes if you saw this department.</t>
      </text>
    </comment>
    <comment ref="BJ1" authorId="0" shapeId="0">
      <text>
        <t>Enter Yes if you saw this department.</t>
      </text>
    </comment>
    <comment ref="BK1" authorId="0" shapeId="0">
      <text>
        <t>Enter Yes if you saw this department.</t>
      </text>
    </comment>
    <comment ref="BL1" authorId="0" shapeId="0">
      <text>
        <t>Enter Yes if you saw this department.</t>
      </text>
    </comment>
    <comment ref="CV1" authorId="0" shapeId="0">
      <text>
        <t>Enter Yes if completed.</t>
      </text>
    </comment>
    <comment ref="CW1" authorId="0" shapeId="0">
      <text>
        <t>Enter Yes if completed.</t>
      </text>
    </comment>
    <comment ref="CX1" authorId="0" shapeId="0">
      <text>
        <t>Enter Yes if completed.</t>
      </text>
    </comment>
    <comment ref="CY1" authorId="0" shapeId="0">
      <text>
        <t>Enter Yes if completed.</t>
      </text>
    </comment>
    <comment ref="CZ1" authorId="0" shapeId="0">
      <text>
        <t>Enter Yes if completed.</t>
      </text>
    </comment>
    <comment ref="A2" authorId="0" shapeId="0">
      <text>
        <t>EXAMPLE ROW - overwrite or delete.</t>
      </text>
    </comment>
  </commentList>
</comments>
</file>

<file path=xl/tables/table1.xml><?xml version="1.0" encoding="utf-8"?>
<table xmlns="http://schemas.openxmlformats.org/spreadsheetml/2006/main" id="1" name="VisitLog" displayName="VisitLog" ref="A1:DE300" headerRowCount="1">
  <autoFilter ref="A1:DE300"/>
  <tableColumns count="109">
    <tableColumn id="1" name="Visit ID"/>
    <tableColumn id="2" name="Date of Visit"/>
    <tableColumn id="3" name="Production Title"/>
    <tableColumn id="4" name="Location Visited"/>
    <tableColumn id="5" name="Field Representative"/>
    <tableColumn id="6" name="L479 No."/>
    <tableColumn id="7" name="Date Production Notified"/>
    <tableColumn id="8" name="Production Phase"/>
    <tableColumn id="9" name="Arrival Time"/>
    <tableColumn id="10" name="Departure Time"/>
    <tableColumn id="11" name="Reason for Visit"/>
    <tableColumn id="12" name="Crew Call"/>
    <tableColumn id="13" name="Crew Day"/>
    <tableColumn id="14" name="Area: Stage"/>
    <tableColumn id="15" name="Area: Location"/>
    <tableColumn id="16" name="Area: Mill"/>
    <tableColumn id="17" name="Area: Lockup"/>
    <tableColumn id="18" name="Area: Other"/>
    <tableColumn id="19" name="Visit Notes"/>
    <tableColumn id="20" name="Proof of Visit"/>
    <tableColumn id="21" name="Wx: Sunny"/>
    <tableColumn id="22" name="Wx: Cloudy"/>
    <tableColumn id="23" name="Wx: Rain"/>
    <tableColumn id="24" name="Wx: Snow"/>
    <tableColumn id="25" name="Wx: Lightning"/>
    <tableColumn id="26" name="Wx: Winds"/>
    <tableColumn id="27" name="Wx: Extreme Cold"/>
    <tableColumn id="28" name="Wx: Extreme Heat"/>
    <tableColumn id="29" name="Steward 1 Name"/>
    <tableColumn id="30" name="Steward 1 Status"/>
    <tableColumn id="31" name="Steward 1 Start Date"/>
    <tableColumn id="32" name="Steward 2 Name"/>
    <tableColumn id="33" name="Steward 2 Status"/>
    <tableColumn id="34" name="Steward 2 Start Date"/>
    <tableColumn id="35" name="Union Crew 1 Name"/>
    <tableColumn id="36" name="Union Crew 1 Role"/>
    <tableColumn id="37" name="Union Crew 1 Notes/Issues"/>
    <tableColumn id="38" name="Union Crew 2 Name"/>
    <tableColumn id="39" name="Union Crew 2 Role"/>
    <tableColumn id="40" name="Union Crew 2 Notes/Issues"/>
    <tableColumn id="41" name="Union Crew 3 Name"/>
    <tableColumn id="42" name="Union Crew 3 Role"/>
    <tableColumn id="43" name="Union Crew 3 Notes/Issues"/>
    <tableColumn id="44" name="Union Crew 4 Name"/>
    <tableColumn id="45" name="Union Crew 4 Role"/>
    <tableColumn id="46" name="Union Crew 4 Notes/Issues"/>
    <tableColumn id="47" name="Section 2 Notes"/>
    <tableColumn id="48" name="Dept: Art"/>
    <tableColumn id="49" name="Dept: Construction"/>
    <tableColumn id="50" name="Dept: Costumes"/>
    <tableColumn id="51" name="Dept: Craft Service"/>
    <tableColumn id="52" name="Dept: Electrical"/>
    <tableColumn id="53" name="Dept: Greens"/>
    <tableColumn id="54" name="Dept: Grip"/>
    <tableColumn id="55" name="Dept: Locations"/>
    <tableColumn id="56" name="Dept: Medic"/>
    <tableColumn id="57" name="Dept: Paint"/>
    <tableColumn id="58" name="Dept: Plaster"/>
    <tableColumn id="59" name="Dept: Props"/>
    <tableColumn id="60" name="Dept: Set Dec"/>
    <tableColumn id="61" name="Dept: Set Teacher"/>
    <tableColumn id="62" name="Dept: Sound"/>
    <tableColumn id="63" name="Dept: SPFX"/>
    <tableColumn id="64" name="Dept: Video"/>
    <tableColumn id="65" name="Non-Union 1 Name"/>
    <tableColumn id="66" name="Non-Union 1 Dept"/>
    <tableColumn id="67" name="Non-Union 2 Name"/>
    <tableColumn id="68" name="Non-Union 2 Dept"/>
    <tableColumn id="69" name="Non-Union 3 Name"/>
    <tableColumn id="70" name="Non-Union 3 Dept"/>
    <tableColumn id="71" name="Non-Union 4 Name"/>
    <tableColumn id="72" name="Non-Union 4 Dept"/>
    <tableColumn id="73" name="Non-Union 5 Name"/>
    <tableColumn id="74" name="Non-Union 5 Dept"/>
    <tableColumn id="75" name="Non-Union 6 Name"/>
    <tableColumn id="76" name="Non-Union 6 Dept"/>
    <tableColumn id="77" name="Non-Union 7 Name"/>
    <tableColumn id="78" name="Non-Union 7 Dept"/>
    <tableColumn id="79" name="Non-Union 8 Name"/>
    <tableColumn id="80" name="Non-Union 8 Dept"/>
    <tableColumn id="81" name="Section 3 Notes"/>
    <tableColumn id="82" name="Apparel 1 Name"/>
    <tableColumn id="83" name="Apparel 1 Phone"/>
    <tableColumn id="84" name="Apparel 1 Size"/>
    <tableColumn id="85" name="Apparel 2 Name"/>
    <tableColumn id="86" name="Apparel 2 Phone"/>
    <tableColumn id="87" name="Apparel 2 Size"/>
    <tableColumn id="88" name="Apparel 3 Name"/>
    <tableColumn id="89" name="Apparel 3 Phone"/>
    <tableColumn id="90" name="Apparel 3 Size"/>
    <tableColumn id="91" name="Apparel 4 Name"/>
    <tableColumn id="92" name="Apparel 4 Phone"/>
    <tableColumn id="93" name="Apparel 4 Size"/>
    <tableColumn id="94" name="Apparel 5 Name"/>
    <tableColumn id="95" name="Apparel 5 Phone"/>
    <tableColumn id="96" name="Apparel 5 Size"/>
    <tableColumn id="97" name="UPM/Producer 1"/>
    <tableColumn id="98" name="UPM/Producer 2"/>
    <tableColumn id="99" name="Production Coordinator"/>
    <tableColumn id="100" name="Follow-up: IATSE Project Info Sheet"/>
    <tableColumn id="101" name="Follow-up: Current Crewlist"/>
    <tableColumn id="102" name="Follow-up: 479 Roster Provided"/>
    <tableColumn id="103" name="Follow-up: Availability List Provided"/>
    <tableColumn id="104" name="Follow-up: Lunch Reporting Schedule"/>
    <tableColumn id="105" name="Section 5 Notes"/>
    <tableColumn id="106" name="# Union Crew"/>
    <tableColumn id="107" name="# Non-Union"/>
    <tableColumn id="108" name="# Depts Visited"/>
    <tableColumn id="109" name="# Follow-ups Done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04" customWidth="1" min="2" max="2"/>
  </cols>
  <sheetData>
    <row r="2">
      <c r="B2" s="1" t="inlineStr">
        <is>
          <t>How this workbook works</t>
        </is>
      </c>
    </row>
    <row r="4">
      <c r="B4" s="2" t="inlineStr"/>
    </row>
    <row r="5">
      <c r="B5" s="3" t="inlineStr">
        <is>
          <t>This file has NO macros, so it opens and prints anywhere with no security prompts - safe to send to an employer.</t>
        </is>
      </c>
    </row>
    <row r="6">
      <c r="B6" s="2" t="inlineStr"/>
    </row>
    <row r="7">
      <c r="B7" s="4" t="inlineStr">
        <is>
          <t>1. Enter each visit in the Visit Log</t>
        </is>
      </c>
    </row>
    <row r="8">
      <c r="B8" s="2" t="inlineStr">
        <is>
          <t xml:space="preserve">   - One row per set visit. Row 2 is a shaded EXAMPLE - overwrite or delete it.</t>
        </is>
      </c>
    </row>
    <row r="9">
      <c r="B9" s="2" t="inlineStr">
        <is>
          <t xml:space="preserve">   - Give every visit a unique Visit ID (e.g. 2026-001, 2026-002...). That ID is how the form finds the visit.</t>
        </is>
      </c>
    </row>
    <row r="10">
      <c r="B10" s="2" t="inlineStr">
        <is>
          <t xml:space="preserve">   - Cells with a dropdown arrow (Phase, Crew Day, Role, Dept, Size, all Yes fields) - pick from the list.</t>
        </is>
      </c>
    </row>
    <row r="11">
      <c r="B11" s="2" t="inlineStr">
        <is>
          <t xml:space="preserve">   - Fill the three tracked fields especially: Location Visited, the Dept: columns you saw (Yes), and Proof of Visit.</t>
        </is>
      </c>
    </row>
    <row r="12">
      <c r="B12" s="2" t="inlineStr"/>
    </row>
    <row r="13">
      <c r="B13" s="4" t="inlineStr">
        <is>
          <t>2. Print / save a visit from the Visit Form</t>
        </is>
      </c>
    </row>
    <row r="14">
      <c r="B14" s="2" t="inlineStr">
        <is>
          <t xml:space="preserve">   - Pick a Visit ID in the yellow cell (top). The whole page-style form fills in automatically for that visit.</t>
        </is>
      </c>
    </row>
    <row r="15">
      <c r="B15" s="2" t="inlineStr">
        <is>
          <t xml:space="preserve">   - File &gt; Save As (or Export) &gt; PDF  -&gt;  you get a clean one-page Field Visit Report for your employer.</t>
        </is>
      </c>
    </row>
    <row r="16">
      <c r="B16" s="2" t="inlineStr">
        <is>
          <t xml:space="preserve">   - Change the Visit ID to print a different visit. Nothing to retype.</t>
        </is>
      </c>
    </row>
    <row r="17">
      <c r="B17" s="2" t="inlineStr"/>
    </row>
    <row r="18">
      <c r="B18" s="4" t="inlineStr">
        <is>
          <t>3. Your tracked stats live in the Field Rep Summary</t>
        </is>
      </c>
    </row>
    <row r="19">
      <c r="B19" s="2" t="inlineStr">
        <is>
          <t xml:space="preserve">   - Updates automatically from the Visit Log. Columns: Visit ID, Production, Location Visited, Date Visited,</t>
        </is>
      </c>
    </row>
    <row r="20">
      <c r="B20" s="2" t="inlineStr">
        <is>
          <t xml:space="preserve">     Departments Seen (auto-listed from the Yes boxes), and Proof of Visit.</t>
        </is>
      </c>
    </row>
    <row r="21">
      <c r="B21" s="2" t="inlineStr">
        <is>
          <t xml:space="preserve">   - Totals (visits logged, productions tracked) are on the right.</t>
        </is>
      </c>
    </row>
    <row r="22">
      <c r="B22" s="2" t="inlineStr"/>
    </row>
    <row r="23">
      <c r="B23" s="3" t="inlineStr">
        <is>
          <t>Note: this is a standalone workbook. When your own field-rep sheet on Google Drive is ready, share it and I'll</t>
        </is>
      </c>
    </row>
    <row r="24">
      <c r="B24" s="2" t="inlineStr">
        <is>
          <t>align these columns to it. I have NOT touched your Drive.</t>
        </is>
      </c>
    </row>
    <row r="25">
      <c r="B25" s="2" t="inlineStr"/>
    </row>
    <row r="26">
      <c r="B26" s="3" t="inlineStr">
        <is>
          <t>Source: IATSE Studio Mechanics Local 479 - Field Visit Report Form X-4 (2026).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8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5" t="inlineStr">
        <is>
          <t>IATSE Studio Mechanics Local 479</t>
        </is>
      </c>
    </row>
    <row r="2">
      <c r="A2" s="6" t="inlineStr">
        <is>
          <t>Field Visit Report  -  Form X-4 (2026)</t>
        </is>
      </c>
    </row>
    <row r="3">
      <c r="B3" s="7" t="inlineStr">
        <is>
          <t>Show Visit ID:</t>
        </is>
      </c>
      <c r="D3" s="8" t="inlineStr">
        <is>
          <t>2026-001</t>
        </is>
      </c>
      <c r="E3" s="9" t="inlineStr">
        <is>
          <t>&lt;- pick a visit; the whole form fills in automatically</t>
        </is>
      </c>
    </row>
    <row r="5">
      <c r="A5" s="10" t="inlineStr">
        <is>
          <t>SECTION 1  -  PRODUCTION VISIT DETAILS</t>
        </is>
      </c>
    </row>
    <row r="6">
      <c r="A6" s="11" t="inlineStr">
        <is>
          <t>FIELD REPRESENTATIVE</t>
        </is>
      </c>
      <c r="D6" s="11" t="inlineStr">
        <is>
          <t>DATE OF VISIT</t>
        </is>
      </c>
      <c r="F6" s="11" t="inlineStr">
        <is>
          <t>L479 No.</t>
        </is>
      </c>
    </row>
    <row r="7">
      <c r="A7" s="12">
        <f>IFERROR(INDEX('Visit Log'!$E$2:$E$300,MATCH($D$3,'Visit Log'!$A$2:$A$300,0)),"")</f>
        <v/>
      </c>
      <c r="D7" s="12">
        <f>IFERROR(INDEX('Visit Log'!$B$2:$B$300,MATCH($D$3,'Visit Log'!$A$2:$A$300,0)),"")</f>
        <v/>
      </c>
      <c r="F7" s="12">
        <f>IFERROR(INDEX('Visit Log'!$F$2:$F$300,MATCH($D$3,'Visit Log'!$A$2:$A$300,0)),"")</f>
        <v/>
      </c>
    </row>
    <row r="8">
      <c r="A8" s="11" t="inlineStr">
        <is>
          <t>PRODUCTION</t>
        </is>
      </c>
      <c r="F8" s="11" t="inlineStr">
        <is>
          <t>PHASE</t>
        </is>
      </c>
    </row>
    <row r="9">
      <c r="A9" s="12">
        <f>IFERROR(INDEX('Visit Log'!$C$2:$C$300,MATCH($D$3,'Visit Log'!$A$2:$A$300,0)),"")</f>
        <v/>
      </c>
      <c r="F9" s="12">
        <f>IFERROR(INDEX('Visit Log'!$H$2:$H$300,MATCH($D$3,'Visit Log'!$A$2:$A$300,0)),"")</f>
        <v/>
      </c>
    </row>
    <row r="10">
      <c r="A10" s="11" t="inlineStr">
        <is>
          <t>LOCATION VISITED</t>
        </is>
      </c>
      <c r="F10" s="11" t="inlineStr">
        <is>
          <t>CREW DAY</t>
        </is>
      </c>
    </row>
    <row r="11">
      <c r="A11" s="12">
        <f>IFERROR(INDEX('Visit Log'!$D$2:$D$300,MATCH($D$3,'Visit Log'!$A$2:$A$300,0)),"")</f>
        <v/>
      </c>
      <c r="F11" s="12">
        <f>IFERROR(INDEX('Visit Log'!$M$2:$M$300,MATCH($D$3,'Visit Log'!$A$2:$A$300,0)),"")</f>
        <v/>
      </c>
    </row>
    <row r="12">
      <c r="A12" s="11" t="inlineStr">
        <is>
          <t>REASON FOR VISIT</t>
        </is>
      </c>
      <c r="D12" s="11" t="inlineStr">
        <is>
          <t>ARRIVAL</t>
        </is>
      </c>
      <c r="F12" s="11" t="inlineStr">
        <is>
          <t>DEPARTURE / CREW CALL</t>
        </is>
      </c>
    </row>
    <row r="13">
      <c r="A13" s="12">
        <f>IFERROR(INDEX('Visit Log'!$K$2:$K$300,MATCH($D$3,'Visit Log'!$A$2:$A$300,0)),"")</f>
        <v/>
      </c>
      <c r="D13" s="12">
        <f>IFERROR(INDEX('Visit Log'!$I$2:$I$300,MATCH($D$3,'Visit Log'!$A$2:$A$300,0)),"")</f>
        <v/>
      </c>
      <c r="F13" s="12">
        <f>IFERROR(INDEX('Visit Log'!$J$2:$J$300,MATCH($D$3,'Visit Log'!$A$2:$A$300,0)),"")&amp;"  /  "&amp;IFERROR(INDEX('Visit Log'!$L$2:$L$300,MATCH($D$3,'Visit Log'!$A$2:$A$300,0)),"")</f>
        <v/>
      </c>
    </row>
    <row r="14">
      <c r="A14" s="13" t="inlineStr">
        <is>
          <t>AREAS VISITED:</t>
        </is>
      </c>
      <c r="C14" s="14">
        <f>IF(IFERROR(INDEX('Visit Log'!$N$2:$N$300,MATCH($D$3,'Visit Log'!$A$2:$A$300,0)),"")="Yes","[X] Stage","[  ] Stage")</f>
        <v/>
      </c>
      <c r="D14" s="14">
        <f>IF(IFERROR(INDEX('Visit Log'!$O$2:$O$300,MATCH($D$3,'Visit Log'!$A$2:$A$300,0)),"")="Yes","[X] Location","[  ] Location")</f>
        <v/>
      </c>
      <c r="E14" s="14">
        <f>IF(IFERROR(INDEX('Visit Log'!$P$2:$P$300,MATCH($D$3,'Visit Log'!$A$2:$A$300,0)),"")="Yes","[X] Mill","[  ] Mill")</f>
        <v/>
      </c>
      <c r="F14" s="14">
        <f>IF(IFERROR(INDEX('Visit Log'!$Q$2:$Q$300,MATCH($D$3,'Visit Log'!$A$2:$A$300,0)),"")="Yes","[X] Lockup","[  ] Lockup")</f>
        <v/>
      </c>
      <c r="G14" s="14">
        <f>IF(IFERROR(INDEX('Visit Log'!$R$2:$R$300,MATCH($D$3,'Visit Log'!$A$2:$A$300,0)),"")="Yes","[X] Other","[  ] Other")</f>
        <v/>
      </c>
    </row>
    <row r="15">
      <c r="A15" s="13" t="inlineStr">
        <is>
          <t>WEATHER:</t>
        </is>
      </c>
      <c r="C15" s="15">
        <f>IF(IFERROR(INDEX('Visit Log'!$U$2:$U$300,MATCH($D$3,'Visit Log'!$A$2:$A$300,0)),"")="Yes","[X] Sunny","[  ] Sunny")</f>
        <v/>
      </c>
      <c r="D15" s="15">
        <f>IF(IFERROR(INDEX('Visit Log'!$V$2:$V$300,MATCH($D$3,'Visit Log'!$A$2:$A$300,0)),"")="Yes","[X] Cloudy","[  ] Cloudy")</f>
        <v/>
      </c>
      <c r="E15" s="15">
        <f>IF(IFERROR(INDEX('Visit Log'!$W$2:$W$300,MATCH($D$3,'Visit Log'!$A$2:$A$300,0)),"")="Yes","[X] Rain","[  ] Rain")</f>
        <v/>
      </c>
      <c r="F15" s="15">
        <f>IF(IFERROR(INDEX('Visit Log'!$X$2:$X$300,MATCH($D$3,'Visit Log'!$A$2:$A$300,0)),"")="Yes","[X] Snow","[  ] Snow")</f>
        <v/>
      </c>
    </row>
    <row r="16">
      <c r="A16" s="16" t="inlineStr"/>
      <c r="C16" s="15">
        <f>IF(IFERROR(INDEX('Visit Log'!$Y$2:$Y$300,MATCH($D$3,'Visit Log'!$A$2:$A$300,0)),"")="Yes","[X] Lightning","[  ] Lightning")</f>
        <v/>
      </c>
      <c r="D16" s="15">
        <f>IF(IFERROR(INDEX('Visit Log'!$Z$2:$Z$300,MATCH($D$3,'Visit Log'!$A$2:$A$300,0)),"")="Yes","[X] Winds","[  ] Winds")</f>
        <v/>
      </c>
      <c r="E16" s="15">
        <f>IF(IFERROR(INDEX('Visit Log'!$AA$2:$AA$300,MATCH($D$3,'Visit Log'!$A$2:$A$300,0)),"")="Yes","[X] Extreme Cold","[  ] Extreme Cold")</f>
        <v/>
      </c>
      <c r="F16" s="15">
        <f>IF(IFERROR(INDEX('Visit Log'!$AB$2:$AB$300,MATCH($D$3,'Visit Log'!$A$2:$A$300,0)),"")="Yes","[X] Extreme Heat","[  ] Extreme Heat")</f>
        <v/>
      </c>
    </row>
    <row r="18">
      <c r="A18" s="17" t="inlineStr">
        <is>
          <t>SECTION 2  -  UNION CREW &amp; DEPARTMENTS SEEN</t>
        </is>
      </c>
    </row>
    <row r="19">
      <c r="A19" s="11" t="inlineStr">
        <is>
          <t>DEPARTMENTS SEEN</t>
        </is>
      </c>
    </row>
    <row r="20">
      <c r="A20" s="12">
        <f>IFERROR(INDEX('Field Rep Summary'!$E$2:$E$300,MATCH($D$3,'Visit Log'!$A$2:$A$300,0)),"")</f>
        <v/>
      </c>
    </row>
    <row r="21">
      <c r="A21" s="11" t="inlineStr">
        <is>
          <t>STEWARD 1 (name / status)</t>
        </is>
      </c>
      <c r="E21" s="11" t="inlineStr">
        <is>
          <t>STEWARD 2 (name / status)</t>
        </is>
      </c>
    </row>
    <row r="22">
      <c r="A22" s="12">
        <f>IFERROR(INDEX('Visit Log'!$AC$2:$AC$300,MATCH($D$3,'Visit Log'!$A$2:$A$300,0)),"")&amp;"   -   "&amp;IFERROR(INDEX('Visit Log'!$AD$2:$AD$300,MATCH($D$3,'Visit Log'!$A$2:$A$300,0)),"")</f>
        <v/>
      </c>
      <c r="E22" s="12">
        <f>IFERROR(INDEX('Visit Log'!$AF$2:$AF$300,MATCH($D$3,'Visit Log'!$A$2:$A$300,0)),"")&amp;"   -   "&amp;IFERROR(INDEX('Visit Log'!$AG$2:$AG$300,MATCH($D$3,'Visit Log'!$A$2:$A$300,0)),"")</f>
        <v/>
      </c>
    </row>
    <row r="23">
      <c r="A23" s="11" t="inlineStr">
        <is>
          <t>UNION CREW 1 (name / role)</t>
        </is>
      </c>
      <c r="D23" s="11" t="inlineStr">
        <is>
          <t>NOTES / ISSUES</t>
        </is>
      </c>
    </row>
    <row r="24">
      <c r="A24" s="12">
        <f>IFERROR(INDEX('Visit Log'!$AI$2:$AI$300,MATCH($D$3,'Visit Log'!$A$2:$A$300,0)),"")&amp;"   ("&amp;IFERROR(INDEX('Visit Log'!$AJ$2:$AJ$300,MATCH($D$3,'Visit Log'!$A$2:$A$300,0)),"")&amp;")"</f>
        <v/>
      </c>
      <c r="D24" s="12">
        <f>IFERROR(INDEX('Visit Log'!$AK$2:$AK$300,MATCH($D$3,'Visit Log'!$A$2:$A$300,0)),"")</f>
        <v/>
      </c>
    </row>
    <row r="25">
      <c r="A25" s="11" t="inlineStr">
        <is>
          <t>UNION CREW 2 (name / role)</t>
        </is>
      </c>
      <c r="D25" s="11" t="inlineStr">
        <is>
          <t>NOTES / ISSUES</t>
        </is>
      </c>
    </row>
    <row r="26">
      <c r="A26" s="12">
        <f>IFERROR(INDEX('Visit Log'!$AL$2:$AL$300,MATCH($D$3,'Visit Log'!$A$2:$A$300,0)),"")&amp;"   ("&amp;IFERROR(INDEX('Visit Log'!$AM$2:$AM$300,MATCH($D$3,'Visit Log'!$A$2:$A$300,0)),"")&amp;")"</f>
        <v/>
      </c>
      <c r="D26" s="12">
        <f>IFERROR(INDEX('Visit Log'!$AN$2:$AN$300,MATCH($D$3,'Visit Log'!$A$2:$A$300,0)),"")</f>
        <v/>
      </c>
    </row>
    <row r="27">
      <c r="A27" s="11" t="inlineStr">
        <is>
          <t>UNION CREW 3 (name / role)</t>
        </is>
      </c>
      <c r="D27" s="11" t="inlineStr">
        <is>
          <t>NOTES / ISSUES</t>
        </is>
      </c>
    </row>
    <row r="28">
      <c r="A28" s="12">
        <f>IFERROR(INDEX('Visit Log'!$AO$2:$AO$300,MATCH($D$3,'Visit Log'!$A$2:$A$300,0)),"")&amp;"   ("&amp;IFERROR(INDEX('Visit Log'!$AP$2:$AP$300,MATCH($D$3,'Visit Log'!$A$2:$A$300,0)),"")&amp;")"</f>
        <v/>
      </c>
      <c r="D28" s="12">
        <f>IFERROR(INDEX('Visit Log'!$AQ$2:$AQ$300,MATCH($D$3,'Visit Log'!$A$2:$A$300,0)),"")</f>
        <v/>
      </c>
    </row>
    <row r="29">
      <c r="A29" s="11" t="inlineStr">
        <is>
          <t>UNION CREW 4 (name / role)</t>
        </is>
      </c>
      <c r="D29" s="11" t="inlineStr">
        <is>
          <t>NOTES / ISSUES</t>
        </is>
      </c>
    </row>
    <row r="30">
      <c r="A30" s="12">
        <f>IFERROR(INDEX('Visit Log'!$AR$2:$AR$300,MATCH($D$3,'Visit Log'!$A$2:$A$300,0)),"")&amp;"   ("&amp;IFERROR(INDEX('Visit Log'!$AS$2:$AS$300,MATCH($D$3,'Visit Log'!$A$2:$A$300,0)),"")&amp;")"</f>
        <v/>
      </c>
      <c r="D30" s="12">
        <f>IFERROR(INDEX('Visit Log'!$AT$2:$AT$300,MATCH($D$3,'Visit Log'!$A$2:$A$300,0)),"")</f>
        <v/>
      </c>
    </row>
    <row r="31">
      <c r="A31" s="18" t="inlineStr">
        <is>
          <t>SECTION 5  -  PRODUCTION NOTES &amp; PROOF OF VISIT</t>
        </is>
      </c>
    </row>
    <row r="32">
      <c r="A32" s="11" t="inlineStr">
        <is>
          <t>UPM / PRODUCER</t>
        </is>
      </c>
      <c r="E32" s="11" t="inlineStr">
        <is>
          <t>PRODUCTION COORDINATOR</t>
        </is>
      </c>
    </row>
    <row r="33">
      <c r="A33" s="12">
        <f>IFERROR(INDEX('Visit Log'!$CS$2:$CS$300,MATCH($D$3,'Visit Log'!$A$2:$A$300,0)),"")&amp;"   "&amp;IFERROR(INDEX('Visit Log'!$CT$2:$CT$300,MATCH($D$3,'Visit Log'!$A$2:$A$300,0)),"")</f>
        <v/>
      </c>
      <c r="E33" s="12">
        <f>IFERROR(INDEX('Visit Log'!$CU$2:$CU$300,MATCH($D$3,'Visit Log'!$A$2:$A$300,0)),"")</f>
        <v/>
      </c>
    </row>
    <row r="34">
      <c r="A34" s="19" t="inlineStr">
        <is>
          <t>PROOF OF VISIT</t>
        </is>
      </c>
      <c r="B34" s="20" t="n"/>
      <c r="C34" s="21">
        <f>IFERROR(INDEX('Visit Log'!$T$2:$T$300,MATCH($D$3,'Visit Log'!$A$2:$A$300,0)),"")</f>
        <v/>
      </c>
    </row>
    <row r="35">
      <c r="A35" s="22" t="n"/>
      <c r="B35" s="23" t="n"/>
    </row>
    <row r="36">
      <c r="A36" s="11" t="inlineStr">
        <is>
          <t>VISIT NOTES</t>
        </is>
      </c>
    </row>
    <row r="37" ht="34" customHeight="1">
      <c r="A37" s="12">
        <f>IFERROR(INDEX('Visit Log'!$S$2:$S$300,MATCH($D$3,'Visit Log'!$A$2:$A$300,0)),"")</f>
        <v/>
      </c>
    </row>
    <row r="38">
      <c r="A38" s="24" t="inlineStr">
        <is>
          <t>For Field Representative use. IATSE Studio Mechanics Local 479 - Field Visit Report Form X-4.</t>
        </is>
      </c>
    </row>
  </sheetData>
  <mergeCells count="60">
    <mergeCell ref="A25:C25"/>
    <mergeCell ref="A15:B15"/>
    <mergeCell ref="A22:D22"/>
    <mergeCell ref="A11:E11"/>
    <mergeCell ref="F8:H8"/>
    <mergeCell ref="A27:C27"/>
    <mergeCell ref="A36:H36"/>
    <mergeCell ref="A1:H1"/>
    <mergeCell ref="A12:C12"/>
    <mergeCell ref="E32:H32"/>
    <mergeCell ref="A26:C26"/>
    <mergeCell ref="C34:H35"/>
    <mergeCell ref="E22:H22"/>
    <mergeCell ref="D6:E6"/>
    <mergeCell ref="A16:B16"/>
    <mergeCell ref="E3:H3"/>
    <mergeCell ref="F13:H13"/>
    <mergeCell ref="A23:C23"/>
    <mergeCell ref="D13:E13"/>
    <mergeCell ref="A32:D32"/>
    <mergeCell ref="E21:H21"/>
    <mergeCell ref="D27:H27"/>
    <mergeCell ref="F9:H9"/>
    <mergeCell ref="A29:C29"/>
    <mergeCell ref="E33:H33"/>
    <mergeCell ref="A37:H37"/>
    <mergeCell ref="A18:H18"/>
    <mergeCell ref="A28:C28"/>
    <mergeCell ref="A34:B35"/>
    <mergeCell ref="A13:C13"/>
    <mergeCell ref="D7:E7"/>
    <mergeCell ref="A2:H2"/>
    <mergeCell ref="D28:H28"/>
    <mergeCell ref="A14:B14"/>
    <mergeCell ref="A30:C30"/>
    <mergeCell ref="A8:E8"/>
    <mergeCell ref="A5:H5"/>
    <mergeCell ref="F11:H11"/>
    <mergeCell ref="A24:C24"/>
    <mergeCell ref="D12:E12"/>
    <mergeCell ref="F10:H10"/>
    <mergeCell ref="D30:H30"/>
    <mergeCell ref="D25:H25"/>
    <mergeCell ref="F6:H6"/>
    <mergeCell ref="A20:H20"/>
    <mergeCell ref="A10:E10"/>
    <mergeCell ref="D24:H24"/>
    <mergeCell ref="A38:H38"/>
    <mergeCell ref="A6:C6"/>
    <mergeCell ref="A21:D21"/>
    <mergeCell ref="D29:H29"/>
    <mergeCell ref="A19:H19"/>
    <mergeCell ref="D23:H23"/>
    <mergeCell ref="F12:H12"/>
    <mergeCell ref="F7:H7"/>
    <mergeCell ref="A33:D33"/>
    <mergeCell ref="A7:C7"/>
    <mergeCell ref="A31:H31"/>
    <mergeCell ref="A9:E9"/>
    <mergeCell ref="D26:H26"/>
  </mergeCells>
  <dataValidations count="1">
    <dataValidation sqref="D3" showDropDown="0" showInputMessage="0" showErrorMessage="0" allowBlank="1" type="list">
      <formula1>'Visit Log'!$A$2:$A$300</formula1>
    </dataValidation>
  </dataValidations>
  <pageMargins left="0.4" right="0.4" top="0.5" bottom="0.5" header="0.5" footer="0.5"/>
  <pageSetup orientation="portrait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13" customWidth="1" min="4" max="4"/>
    <col width="40" customWidth="1" min="5" max="5"/>
    <col width="26" customWidth="1" min="6" max="6"/>
    <col width="24" customWidth="1" min="8" max="8"/>
    <col width="12" customWidth="1" min="9" max="9"/>
  </cols>
  <sheetData>
    <row r="1" ht="22" customHeight="1">
      <c r="A1" s="25" t="inlineStr">
        <is>
          <t>Visit ID</t>
        </is>
      </c>
      <c r="B1" s="25" t="inlineStr">
        <is>
          <t>Production</t>
        </is>
      </c>
      <c r="C1" s="25" t="inlineStr">
        <is>
          <t>Location Visited</t>
        </is>
      </c>
      <c r="D1" s="25" t="inlineStr">
        <is>
          <t>Date Visited</t>
        </is>
      </c>
      <c r="E1" s="25" t="inlineStr">
        <is>
          <t>Departments Seen</t>
        </is>
      </c>
      <c r="F1" s="25" t="inlineStr">
        <is>
          <t>Proof of Visit</t>
        </is>
      </c>
      <c r="H1" s="26" t="inlineStr">
        <is>
          <t>TRACKER TOTALS</t>
        </is>
      </c>
      <c r="I1" s="27" t="n"/>
    </row>
    <row r="2">
      <c r="A2" s="28">
        <f>IF('Visit Log'!C2="","",'Visit Log'!A2)</f>
        <v/>
      </c>
      <c r="B2" s="28">
        <f>IF('Visit Log'!C2="","",'Visit Log'!C2)</f>
        <v/>
      </c>
      <c r="C2" s="28">
        <f>IF('Visit Log'!C2="","",'Visit Log'!D2)</f>
        <v/>
      </c>
      <c r="D2" s="29">
        <f>IF('Visit Log'!C2="","",'Visit Log'!B2)</f>
        <v/>
      </c>
      <c r="E2" s="28">
        <f>IF('Visit Log'!C2="","",IF((IF('Visit Log'!AV2="Yes",", Art","")&amp;IF('Visit Log'!AW2="Yes",", Construction","")&amp;IF('Visit Log'!AX2="Yes",", Costumes","")&amp;IF('Visit Log'!AY2="Yes",", Craft Service","")&amp;IF('Visit Log'!AZ2="Yes",", Electrical","")&amp;IF('Visit Log'!BA2="Yes",", Greens","")&amp;IF('Visit Log'!BB2="Yes",", Grip","")&amp;IF('Visit Log'!BC2="Yes",", Locations","")&amp;IF('Visit Log'!BD2="Yes",", Medic","")&amp;IF('Visit Log'!BE2="Yes",", Paint","")&amp;IF('Visit Log'!BF2="Yes",", Plaster","")&amp;IF('Visit Log'!BG2="Yes",", Props","")&amp;IF('Visit Log'!BH2="Yes",", Set Dec","")&amp;IF('Visit Log'!BI2="Yes",", Set Teacher","")&amp;IF('Visit Log'!BJ2="Yes",", Sound","")&amp;IF('Visit Log'!BK2="Yes",", SPFX","")&amp;IF('Visit Log'!BL2="Yes",", Video",""))="","",MID(IF('Visit Log'!AV2="Yes",", Art","")&amp;IF('Visit Log'!AW2="Yes",", Construction","")&amp;IF('Visit Log'!AX2="Yes",", Costumes","")&amp;IF('Visit Log'!AY2="Yes",", Craft Service","")&amp;IF('Visit Log'!AZ2="Yes",", Electrical","")&amp;IF('Visit Log'!BA2="Yes",", Greens","")&amp;IF('Visit Log'!BB2="Yes",", Grip","")&amp;IF('Visit Log'!BC2="Yes",", Locations","")&amp;IF('Visit Log'!BD2="Yes",", Medic","")&amp;IF('Visit Log'!BE2="Yes",", Paint","")&amp;IF('Visit Log'!BF2="Yes",", Plaster","")&amp;IF('Visit Log'!BG2="Yes",", Props","")&amp;IF('Visit Log'!BH2="Yes",", Set Dec","")&amp;IF('Visit Log'!BI2="Yes",", Set Teacher","")&amp;IF('Visit Log'!BJ2="Yes",", Sound","")&amp;IF('Visit Log'!BK2="Yes",", SPFX","")&amp;IF('Visit Log'!BL2="Yes",", Video",""),3,300)))</f>
        <v/>
      </c>
      <c r="F2" s="28">
        <f>IF('Visit Log'!C2="","",'Visit Log'!T2)</f>
        <v/>
      </c>
      <c r="H2" s="30" t="inlineStr">
        <is>
          <t>Total Visits Logged</t>
        </is>
      </c>
      <c r="I2" s="31">
        <f>COUNTA('Field Rep Summary'!$A$2:$A$300)</f>
        <v/>
      </c>
    </row>
    <row r="3">
      <c r="A3" s="32">
        <f>IF('Visit Log'!C3="","",'Visit Log'!A3)</f>
        <v/>
      </c>
      <c r="B3" s="32">
        <f>IF('Visit Log'!C3="","",'Visit Log'!C3)</f>
        <v/>
      </c>
      <c r="C3" s="32">
        <f>IF('Visit Log'!C3="","",'Visit Log'!D3)</f>
        <v/>
      </c>
      <c r="D3" s="33">
        <f>IF('Visit Log'!C3="","",'Visit Log'!B3)</f>
        <v/>
      </c>
      <c r="E3" s="32">
        <f>IF('Visit Log'!C3="","",IF((IF('Visit Log'!AV3="Yes",", Art","")&amp;IF('Visit Log'!AW3="Yes",", Construction","")&amp;IF('Visit Log'!AX3="Yes",", Costumes","")&amp;IF('Visit Log'!AY3="Yes",", Craft Service","")&amp;IF('Visit Log'!AZ3="Yes",", Electrical","")&amp;IF('Visit Log'!BA3="Yes",", Greens","")&amp;IF('Visit Log'!BB3="Yes",", Grip","")&amp;IF('Visit Log'!BC3="Yes",", Locations","")&amp;IF('Visit Log'!BD3="Yes",", Medic","")&amp;IF('Visit Log'!BE3="Yes",", Paint","")&amp;IF('Visit Log'!BF3="Yes",", Plaster","")&amp;IF('Visit Log'!BG3="Yes",", Props","")&amp;IF('Visit Log'!BH3="Yes",", Set Dec","")&amp;IF('Visit Log'!BI3="Yes",", Set Teacher","")&amp;IF('Visit Log'!BJ3="Yes",", Sound","")&amp;IF('Visit Log'!BK3="Yes",", SPFX","")&amp;IF('Visit Log'!BL3="Yes",", Video",""))="","",MID(IF('Visit Log'!AV3="Yes",", Art","")&amp;IF('Visit Log'!AW3="Yes",", Construction","")&amp;IF('Visit Log'!AX3="Yes",", Costumes","")&amp;IF('Visit Log'!AY3="Yes",", Craft Service","")&amp;IF('Visit Log'!AZ3="Yes",", Electrical","")&amp;IF('Visit Log'!BA3="Yes",", Greens","")&amp;IF('Visit Log'!BB3="Yes",", Grip","")&amp;IF('Visit Log'!BC3="Yes",", Locations","")&amp;IF('Visit Log'!BD3="Yes",", Medic","")&amp;IF('Visit Log'!BE3="Yes",", Paint","")&amp;IF('Visit Log'!BF3="Yes",", Plaster","")&amp;IF('Visit Log'!BG3="Yes",", Props","")&amp;IF('Visit Log'!BH3="Yes",", Set Dec","")&amp;IF('Visit Log'!BI3="Yes",", Set Teacher","")&amp;IF('Visit Log'!BJ3="Yes",", Sound","")&amp;IF('Visit Log'!BK3="Yes",", SPFX","")&amp;IF('Visit Log'!BL3="Yes",", Video",""),3,300)))</f>
        <v/>
      </c>
      <c r="F3" s="32">
        <f>IF('Visit Log'!C3="","",'Visit Log'!T3)</f>
        <v/>
      </c>
      <c r="H3" s="30" t="inlineStr">
        <is>
          <t>Productions Tracked</t>
        </is>
      </c>
      <c r="I3" s="31">
        <f>SUMPRODUCT(('Field Rep Summary'!$B$2:$B$300&lt;&gt;"")/COUNTIF('Field Rep Summary'!$B$2:$B$300,'Field Rep Summary'!$B$2:$B$300&amp;""))</f>
        <v/>
      </c>
    </row>
    <row r="4">
      <c r="A4" s="28">
        <f>IF('Visit Log'!C4="","",'Visit Log'!A4)</f>
        <v/>
      </c>
      <c r="B4" s="28">
        <f>IF('Visit Log'!C4="","",'Visit Log'!C4)</f>
        <v/>
      </c>
      <c r="C4" s="28">
        <f>IF('Visit Log'!C4="","",'Visit Log'!D4)</f>
        <v/>
      </c>
      <c r="D4" s="29">
        <f>IF('Visit Log'!C4="","",'Visit Log'!B4)</f>
        <v/>
      </c>
      <c r="E4" s="28">
        <f>IF('Visit Log'!C4="","",IF((IF('Visit Log'!AV4="Yes",", Art","")&amp;IF('Visit Log'!AW4="Yes",", Construction","")&amp;IF('Visit Log'!AX4="Yes",", Costumes","")&amp;IF('Visit Log'!AY4="Yes",", Craft Service","")&amp;IF('Visit Log'!AZ4="Yes",", Electrical","")&amp;IF('Visit Log'!BA4="Yes",", Greens","")&amp;IF('Visit Log'!BB4="Yes",", Grip","")&amp;IF('Visit Log'!BC4="Yes",", Locations","")&amp;IF('Visit Log'!BD4="Yes",", Medic","")&amp;IF('Visit Log'!BE4="Yes",", Paint","")&amp;IF('Visit Log'!BF4="Yes",", Plaster","")&amp;IF('Visit Log'!BG4="Yes",", Props","")&amp;IF('Visit Log'!BH4="Yes",", Set Dec","")&amp;IF('Visit Log'!BI4="Yes",", Set Teacher","")&amp;IF('Visit Log'!BJ4="Yes",", Sound","")&amp;IF('Visit Log'!BK4="Yes",", SPFX","")&amp;IF('Visit Log'!BL4="Yes",", Video",""))="","",MID(IF('Visit Log'!AV4="Yes",", Art","")&amp;IF('Visit Log'!AW4="Yes",", Construction","")&amp;IF('Visit Log'!AX4="Yes",", Costumes","")&amp;IF('Visit Log'!AY4="Yes",", Craft Service","")&amp;IF('Visit Log'!AZ4="Yes",", Electrical","")&amp;IF('Visit Log'!BA4="Yes",", Greens","")&amp;IF('Visit Log'!BB4="Yes",", Grip","")&amp;IF('Visit Log'!BC4="Yes",", Locations","")&amp;IF('Visit Log'!BD4="Yes",", Medic","")&amp;IF('Visit Log'!BE4="Yes",", Paint","")&amp;IF('Visit Log'!BF4="Yes",", Plaster","")&amp;IF('Visit Log'!BG4="Yes",", Props","")&amp;IF('Visit Log'!BH4="Yes",", Set Dec","")&amp;IF('Visit Log'!BI4="Yes",", Set Teacher","")&amp;IF('Visit Log'!BJ4="Yes",", Sound","")&amp;IF('Visit Log'!BK4="Yes",", SPFX","")&amp;IF('Visit Log'!BL4="Yes",", Video",""),3,300)))</f>
        <v/>
      </c>
      <c r="F4" s="28">
        <f>IF('Visit Log'!C4="","",'Visit Log'!T4)</f>
        <v/>
      </c>
    </row>
    <row r="5">
      <c r="A5" s="32">
        <f>IF('Visit Log'!C5="","",'Visit Log'!A5)</f>
        <v/>
      </c>
      <c r="B5" s="32">
        <f>IF('Visit Log'!C5="","",'Visit Log'!C5)</f>
        <v/>
      </c>
      <c r="C5" s="32">
        <f>IF('Visit Log'!C5="","",'Visit Log'!D5)</f>
        <v/>
      </c>
      <c r="D5" s="33">
        <f>IF('Visit Log'!C5="","",'Visit Log'!B5)</f>
        <v/>
      </c>
      <c r="E5" s="32">
        <f>IF('Visit Log'!C5="","",IF((IF('Visit Log'!AV5="Yes",", Art","")&amp;IF('Visit Log'!AW5="Yes",", Construction","")&amp;IF('Visit Log'!AX5="Yes",", Costumes","")&amp;IF('Visit Log'!AY5="Yes",", Craft Service","")&amp;IF('Visit Log'!AZ5="Yes",", Electrical","")&amp;IF('Visit Log'!BA5="Yes",", Greens","")&amp;IF('Visit Log'!BB5="Yes",", Grip","")&amp;IF('Visit Log'!BC5="Yes",", Locations","")&amp;IF('Visit Log'!BD5="Yes",", Medic","")&amp;IF('Visit Log'!BE5="Yes",", Paint","")&amp;IF('Visit Log'!BF5="Yes",", Plaster","")&amp;IF('Visit Log'!BG5="Yes",", Props","")&amp;IF('Visit Log'!BH5="Yes",", Set Dec","")&amp;IF('Visit Log'!BI5="Yes",", Set Teacher","")&amp;IF('Visit Log'!BJ5="Yes",", Sound","")&amp;IF('Visit Log'!BK5="Yes",", SPFX","")&amp;IF('Visit Log'!BL5="Yes",", Video",""))="","",MID(IF('Visit Log'!AV5="Yes",", Art","")&amp;IF('Visit Log'!AW5="Yes",", Construction","")&amp;IF('Visit Log'!AX5="Yes",", Costumes","")&amp;IF('Visit Log'!AY5="Yes",", Craft Service","")&amp;IF('Visit Log'!AZ5="Yes",", Electrical","")&amp;IF('Visit Log'!BA5="Yes",", Greens","")&amp;IF('Visit Log'!BB5="Yes",", Grip","")&amp;IF('Visit Log'!BC5="Yes",", Locations","")&amp;IF('Visit Log'!BD5="Yes",", Medic","")&amp;IF('Visit Log'!BE5="Yes",", Paint","")&amp;IF('Visit Log'!BF5="Yes",", Plaster","")&amp;IF('Visit Log'!BG5="Yes",", Props","")&amp;IF('Visit Log'!BH5="Yes",", Set Dec","")&amp;IF('Visit Log'!BI5="Yes",", Set Teacher","")&amp;IF('Visit Log'!BJ5="Yes",", Sound","")&amp;IF('Visit Log'!BK5="Yes",", SPFX","")&amp;IF('Visit Log'!BL5="Yes",", Video",""),3,300)))</f>
        <v/>
      </c>
      <c r="F5" s="32">
        <f>IF('Visit Log'!C5="","",'Visit Log'!T5)</f>
        <v/>
      </c>
    </row>
    <row r="6">
      <c r="A6" s="28">
        <f>IF('Visit Log'!C6="","",'Visit Log'!A6)</f>
        <v/>
      </c>
      <c r="B6" s="28">
        <f>IF('Visit Log'!C6="","",'Visit Log'!C6)</f>
        <v/>
      </c>
      <c r="C6" s="28">
        <f>IF('Visit Log'!C6="","",'Visit Log'!D6)</f>
        <v/>
      </c>
      <c r="D6" s="29">
        <f>IF('Visit Log'!C6="","",'Visit Log'!B6)</f>
        <v/>
      </c>
      <c r="E6" s="28">
        <f>IF('Visit Log'!C6="","",IF((IF('Visit Log'!AV6="Yes",", Art","")&amp;IF('Visit Log'!AW6="Yes",", Construction","")&amp;IF('Visit Log'!AX6="Yes",", Costumes","")&amp;IF('Visit Log'!AY6="Yes",", Craft Service","")&amp;IF('Visit Log'!AZ6="Yes",", Electrical","")&amp;IF('Visit Log'!BA6="Yes",", Greens","")&amp;IF('Visit Log'!BB6="Yes",", Grip","")&amp;IF('Visit Log'!BC6="Yes",", Locations","")&amp;IF('Visit Log'!BD6="Yes",", Medic","")&amp;IF('Visit Log'!BE6="Yes",", Paint","")&amp;IF('Visit Log'!BF6="Yes",", Plaster","")&amp;IF('Visit Log'!BG6="Yes",", Props","")&amp;IF('Visit Log'!BH6="Yes",", Set Dec","")&amp;IF('Visit Log'!BI6="Yes",", Set Teacher","")&amp;IF('Visit Log'!BJ6="Yes",", Sound","")&amp;IF('Visit Log'!BK6="Yes",", SPFX","")&amp;IF('Visit Log'!BL6="Yes",", Video",""))="","",MID(IF('Visit Log'!AV6="Yes",", Art","")&amp;IF('Visit Log'!AW6="Yes",", Construction","")&amp;IF('Visit Log'!AX6="Yes",", Costumes","")&amp;IF('Visit Log'!AY6="Yes",", Craft Service","")&amp;IF('Visit Log'!AZ6="Yes",", Electrical","")&amp;IF('Visit Log'!BA6="Yes",", Greens","")&amp;IF('Visit Log'!BB6="Yes",", Grip","")&amp;IF('Visit Log'!BC6="Yes",", Locations","")&amp;IF('Visit Log'!BD6="Yes",", Medic","")&amp;IF('Visit Log'!BE6="Yes",", Paint","")&amp;IF('Visit Log'!BF6="Yes",", Plaster","")&amp;IF('Visit Log'!BG6="Yes",", Props","")&amp;IF('Visit Log'!BH6="Yes",", Set Dec","")&amp;IF('Visit Log'!BI6="Yes",", Set Teacher","")&amp;IF('Visit Log'!BJ6="Yes",", Sound","")&amp;IF('Visit Log'!BK6="Yes",", SPFX","")&amp;IF('Visit Log'!BL6="Yes",", Video",""),3,300)))</f>
        <v/>
      </c>
      <c r="F6" s="28">
        <f>IF('Visit Log'!C6="","",'Visit Log'!T6)</f>
        <v/>
      </c>
    </row>
    <row r="7">
      <c r="A7" s="32">
        <f>IF('Visit Log'!C7="","",'Visit Log'!A7)</f>
        <v/>
      </c>
      <c r="B7" s="32">
        <f>IF('Visit Log'!C7="","",'Visit Log'!C7)</f>
        <v/>
      </c>
      <c r="C7" s="32">
        <f>IF('Visit Log'!C7="","",'Visit Log'!D7)</f>
        <v/>
      </c>
      <c r="D7" s="33">
        <f>IF('Visit Log'!C7="","",'Visit Log'!B7)</f>
        <v/>
      </c>
      <c r="E7" s="32">
        <f>IF('Visit Log'!C7="","",IF((IF('Visit Log'!AV7="Yes",", Art","")&amp;IF('Visit Log'!AW7="Yes",", Construction","")&amp;IF('Visit Log'!AX7="Yes",", Costumes","")&amp;IF('Visit Log'!AY7="Yes",", Craft Service","")&amp;IF('Visit Log'!AZ7="Yes",", Electrical","")&amp;IF('Visit Log'!BA7="Yes",", Greens","")&amp;IF('Visit Log'!BB7="Yes",", Grip","")&amp;IF('Visit Log'!BC7="Yes",", Locations","")&amp;IF('Visit Log'!BD7="Yes",", Medic","")&amp;IF('Visit Log'!BE7="Yes",", Paint","")&amp;IF('Visit Log'!BF7="Yes",", Plaster","")&amp;IF('Visit Log'!BG7="Yes",", Props","")&amp;IF('Visit Log'!BH7="Yes",", Set Dec","")&amp;IF('Visit Log'!BI7="Yes",", Set Teacher","")&amp;IF('Visit Log'!BJ7="Yes",", Sound","")&amp;IF('Visit Log'!BK7="Yes",", SPFX","")&amp;IF('Visit Log'!BL7="Yes",", Video",""))="","",MID(IF('Visit Log'!AV7="Yes",", Art","")&amp;IF('Visit Log'!AW7="Yes",", Construction","")&amp;IF('Visit Log'!AX7="Yes",", Costumes","")&amp;IF('Visit Log'!AY7="Yes",", Craft Service","")&amp;IF('Visit Log'!AZ7="Yes",", Electrical","")&amp;IF('Visit Log'!BA7="Yes",", Greens","")&amp;IF('Visit Log'!BB7="Yes",", Grip","")&amp;IF('Visit Log'!BC7="Yes",", Locations","")&amp;IF('Visit Log'!BD7="Yes",", Medic","")&amp;IF('Visit Log'!BE7="Yes",", Paint","")&amp;IF('Visit Log'!BF7="Yes",", Plaster","")&amp;IF('Visit Log'!BG7="Yes",", Props","")&amp;IF('Visit Log'!BH7="Yes",", Set Dec","")&amp;IF('Visit Log'!BI7="Yes",", Set Teacher","")&amp;IF('Visit Log'!BJ7="Yes",", Sound","")&amp;IF('Visit Log'!BK7="Yes",", SPFX","")&amp;IF('Visit Log'!BL7="Yes",", Video",""),3,300)))</f>
        <v/>
      </c>
      <c r="F7" s="32">
        <f>IF('Visit Log'!C7="","",'Visit Log'!T7)</f>
        <v/>
      </c>
    </row>
    <row r="8">
      <c r="A8" s="28">
        <f>IF('Visit Log'!C8="","",'Visit Log'!A8)</f>
        <v/>
      </c>
      <c r="B8" s="28">
        <f>IF('Visit Log'!C8="","",'Visit Log'!C8)</f>
        <v/>
      </c>
      <c r="C8" s="28">
        <f>IF('Visit Log'!C8="","",'Visit Log'!D8)</f>
        <v/>
      </c>
      <c r="D8" s="29">
        <f>IF('Visit Log'!C8="","",'Visit Log'!B8)</f>
        <v/>
      </c>
      <c r="E8" s="28">
        <f>IF('Visit Log'!C8="","",IF((IF('Visit Log'!AV8="Yes",", Art","")&amp;IF('Visit Log'!AW8="Yes",", Construction","")&amp;IF('Visit Log'!AX8="Yes",", Costumes","")&amp;IF('Visit Log'!AY8="Yes",", Craft Service","")&amp;IF('Visit Log'!AZ8="Yes",", Electrical","")&amp;IF('Visit Log'!BA8="Yes",", Greens","")&amp;IF('Visit Log'!BB8="Yes",", Grip","")&amp;IF('Visit Log'!BC8="Yes",", Locations","")&amp;IF('Visit Log'!BD8="Yes",", Medic","")&amp;IF('Visit Log'!BE8="Yes",", Paint","")&amp;IF('Visit Log'!BF8="Yes",", Plaster","")&amp;IF('Visit Log'!BG8="Yes",", Props","")&amp;IF('Visit Log'!BH8="Yes",", Set Dec","")&amp;IF('Visit Log'!BI8="Yes",", Set Teacher","")&amp;IF('Visit Log'!BJ8="Yes",", Sound","")&amp;IF('Visit Log'!BK8="Yes",", SPFX","")&amp;IF('Visit Log'!BL8="Yes",", Video",""))="","",MID(IF('Visit Log'!AV8="Yes",", Art","")&amp;IF('Visit Log'!AW8="Yes",", Construction","")&amp;IF('Visit Log'!AX8="Yes",", Costumes","")&amp;IF('Visit Log'!AY8="Yes",", Craft Service","")&amp;IF('Visit Log'!AZ8="Yes",", Electrical","")&amp;IF('Visit Log'!BA8="Yes",", Greens","")&amp;IF('Visit Log'!BB8="Yes",", Grip","")&amp;IF('Visit Log'!BC8="Yes",", Locations","")&amp;IF('Visit Log'!BD8="Yes",", Medic","")&amp;IF('Visit Log'!BE8="Yes",", Paint","")&amp;IF('Visit Log'!BF8="Yes",", Plaster","")&amp;IF('Visit Log'!BG8="Yes",", Props","")&amp;IF('Visit Log'!BH8="Yes",", Set Dec","")&amp;IF('Visit Log'!BI8="Yes",", Set Teacher","")&amp;IF('Visit Log'!BJ8="Yes",", Sound","")&amp;IF('Visit Log'!BK8="Yes",", SPFX","")&amp;IF('Visit Log'!BL8="Yes",", Video",""),3,300)))</f>
        <v/>
      </c>
      <c r="F8" s="28">
        <f>IF('Visit Log'!C8="","",'Visit Log'!T8)</f>
        <v/>
      </c>
    </row>
    <row r="9">
      <c r="A9" s="32">
        <f>IF('Visit Log'!C9="","",'Visit Log'!A9)</f>
        <v/>
      </c>
      <c r="B9" s="32">
        <f>IF('Visit Log'!C9="","",'Visit Log'!C9)</f>
        <v/>
      </c>
      <c r="C9" s="32">
        <f>IF('Visit Log'!C9="","",'Visit Log'!D9)</f>
        <v/>
      </c>
      <c r="D9" s="33">
        <f>IF('Visit Log'!C9="","",'Visit Log'!B9)</f>
        <v/>
      </c>
      <c r="E9" s="32">
        <f>IF('Visit Log'!C9="","",IF((IF('Visit Log'!AV9="Yes",", Art","")&amp;IF('Visit Log'!AW9="Yes",", Construction","")&amp;IF('Visit Log'!AX9="Yes",", Costumes","")&amp;IF('Visit Log'!AY9="Yes",", Craft Service","")&amp;IF('Visit Log'!AZ9="Yes",", Electrical","")&amp;IF('Visit Log'!BA9="Yes",", Greens","")&amp;IF('Visit Log'!BB9="Yes",", Grip","")&amp;IF('Visit Log'!BC9="Yes",", Locations","")&amp;IF('Visit Log'!BD9="Yes",", Medic","")&amp;IF('Visit Log'!BE9="Yes",", Paint","")&amp;IF('Visit Log'!BF9="Yes",", Plaster","")&amp;IF('Visit Log'!BG9="Yes",", Props","")&amp;IF('Visit Log'!BH9="Yes",", Set Dec","")&amp;IF('Visit Log'!BI9="Yes",", Set Teacher","")&amp;IF('Visit Log'!BJ9="Yes",", Sound","")&amp;IF('Visit Log'!BK9="Yes",", SPFX","")&amp;IF('Visit Log'!BL9="Yes",", Video",""))="","",MID(IF('Visit Log'!AV9="Yes",", Art","")&amp;IF('Visit Log'!AW9="Yes",", Construction","")&amp;IF('Visit Log'!AX9="Yes",", Costumes","")&amp;IF('Visit Log'!AY9="Yes",", Craft Service","")&amp;IF('Visit Log'!AZ9="Yes",", Electrical","")&amp;IF('Visit Log'!BA9="Yes",", Greens","")&amp;IF('Visit Log'!BB9="Yes",", Grip","")&amp;IF('Visit Log'!BC9="Yes",", Locations","")&amp;IF('Visit Log'!BD9="Yes",", Medic","")&amp;IF('Visit Log'!BE9="Yes",", Paint","")&amp;IF('Visit Log'!BF9="Yes",", Plaster","")&amp;IF('Visit Log'!BG9="Yes",", Props","")&amp;IF('Visit Log'!BH9="Yes",", Set Dec","")&amp;IF('Visit Log'!BI9="Yes",", Set Teacher","")&amp;IF('Visit Log'!BJ9="Yes",", Sound","")&amp;IF('Visit Log'!BK9="Yes",", SPFX","")&amp;IF('Visit Log'!BL9="Yes",", Video",""),3,300)))</f>
        <v/>
      </c>
      <c r="F9" s="32">
        <f>IF('Visit Log'!C9="","",'Visit Log'!T9)</f>
        <v/>
      </c>
    </row>
    <row r="10">
      <c r="A10" s="28">
        <f>IF('Visit Log'!C10="","",'Visit Log'!A10)</f>
        <v/>
      </c>
      <c r="B10" s="28">
        <f>IF('Visit Log'!C10="","",'Visit Log'!C10)</f>
        <v/>
      </c>
      <c r="C10" s="28">
        <f>IF('Visit Log'!C10="","",'Visit Log'!D10)</f>
        <v/>
      </c>
      <c r="D10" s="29">
        <f>IF('Visit Log'!C10="","",'Visit Log'!B10)</f>
        <v/>
      </c>
      <c r="E10" s="28">
        <f>IF('Visit Log'!C10="","",IF((IF('Visit Log'!AV10="Yes",", Art","")&amp;IF('Visit Log'!AW10="Yes",", Construction","")&amp;IF('Visit Log'!AX10="Yes",", Costumes","")&amp;IF('Visit Log'!AY10="Yes",", Craft Service","")&amp;IF('Visit Log'!AZ10="Yes",", Electrical","")&amp;IF('Visit Log'!BA10="Yes",", Greens","")&amp;IF('Visit Log'!BB10="Yes",", Grip","")&amp;IF('Visit Log'!BC10="Yes",", Locations","")&amp;IF('Visit Log'!BD10="Yes",", Medic","")&amp;IF('Visit Log'!BE10="Yes",", Paint","")&amp;IF('Visit Log'!BF10="Yes",", Plaster","")&amp;IF('Visit Log'!BG10="Yes",", Props","")&amp;IF('Visit Log'!BH10="Yes",", Set Dec","")&amp;IF('Visit Log'!BI10="Yes",", Set Teacher","")&amp;IF('Visit Log'!BJ10="Yes",", Sound","")&amp;IF('Visit Log'!BK10="Yes",", SPFX","")&amp;IF('Visit Log'!BL10="Yes",", Video",""))="","",MID(IF('Visit Log'!AV10="Yes",", Art","")&amp;IF('Visit Log'!AW10="Yes",", Construction","")&amp;IF('Visit Log'!AX10="Yes",", Costumes","")&amp;IF('Visit Log'!AY10="Yes",", Craft Service","")&amp;IF('Visit Log'!AZ10="Yes",", Electrical","")&amp;IF('Visit Log'!BA10="Yes",", Greens","")&amp;IF('Visit Log'!BB10="Yes",", Grip","")&amp;IF('Visit Log'!BC10="Yes",", Locations","")&amp;IF('Visit Log'!BD10="Yes",", Medic","")&amp;IF('Visit Log'!BE10="Yes",", Paint","")&amp;IF('Visit Log'!BF10="Yes",", Plaster","")&amp;IF('Visit Log'!BG10="Yes",", Props","")&amp;IF('Visit Log'!BH10="Yes",", Set Dec","")&amp;IF('Visit Log'!BI10="Yes",", Set Teacher","")&amp;IF('Visit Log'!BJ10="Yes",", Sound","")&amp;IF('Visit Log'!BK10="Yes",", SPFX","")&amp;IF('Visit Log'!BL10="Yes",", Video",""),3,300)))</f>
        <v/>
      </c>
      <c r="F10" s="28">
        <f>IF('Visit Log'!C10="","",'Visit Log'!T10)</f>
        <v/>
      </c>
    </row>
    <row r="11">
      <c r="A11" s="32">
        <f>IF('Visit Log'!C11="","",'Visit Log'!A11)</f>
        <v/>
      </c>
      <c r="B11" s="32">
        <f>IF('Visit Log'!C11="","",'Visit Log'!C11)</f>
        <v/>
      </c>
      <c r="C11" s="32">
        <f>IF('Visit Log'!C11="","",'Visit Log'!D11)</f>
        <v/>
      </c>
      <c r="D11" s="33">
        <f>IF('Visit Log'!C11="","",'Visit Log'!B11)</f>
        <v/>
      </c>
      <c r="E11" s="32">
        <f>IF('Visit Log'!C11="","",IF((IF('Visit Log'!AV11="Yes",", Art","")&amp;IF('Visit Log'!AW11="Yes",", Construction","")&amp;IF('Visit Log'!AX11="Yes",", Costumes","")&amp;IF('Visit Log'!AY11="Yes",", Craft Service","")&amp;IF('Visit Log'!AZ11="Yes",", Electrical","")&amp;IF('Visit Log'!BA11="Yes",", Greens","")&amp;IF('Visit Log'!BB11="Yes",", Grip","")&amp;IF('Visit Log'!BC11="Yes",", Locations","")&amp;IF('Visit Log'!BD11="Yes",", Medic","")&amp;IF('Visit Log'!BE11="Yes",", Paint","")&amp;IF('Visit Log'!BF11="Yes",", Plaster","")&amp;IF('Visit Log'!BG11="Yes",", Props","")&amp;IF('Visit Log'!BH11="Yes",", Set Dec","")&amp;IF('Visit Log'!BI11="Yes",", Set Teacher","")&amp;IF('Visit Log'!BJ11="Yes",", Sound","")&amp;IF('Visit Log'!BK11="Yes",", SPFX","")&amp;IF('Visit Log'!BL11="Yes",", Video",""))="","",MID(IF('Visit Log'!AV11="Yes",", Art","")&amp;IF('Visit Log'!AW11="Yes",", Construction","")&amp;IF('Visit Log'!AX11="Yes",", Costumes","")&amp;IF('Visit Log'!AY11="Yes",", Craft Service","")&amp;IF('Visit Log'!AZ11="Yes",", Electrical","")&amp;IF('Visit Log'!BA11="Yes",", Greens","")&amp;IF('Visit Log'!BB11="Yes",", Grip","")&amp;IF('Visit Log'!BC11="Yes",", Locations","")&amp;IF('Visit Log'!BD11="Yes",", Medic","")&amp;IF('Visit Log'!BE11="Yes",", Paint","")&amp;IF('Visit Log'!BF11="Yes",", Plaster","")&amp;IF('Visit Log'!BG11="Yes",", Props","")&amp;IF('Visit Log'!BH11="Yes",", Set Dec","")&amp;IF('Visit Log'!BI11="Yes",", Set Teacher","")&amp;IF('Visit Log'!BJ11="Yes",", Sound","")&amp;IF('Visit Log'!BK11="Yes",", SPFX","")&amp;IF('Visit Log'!BL11="Yes",", Video",""),3,300)))</f>
        <v/>
      </c>
      <c r="F11" s="32">
        <f>IF('Visit Log'!C11="","",'Visit Log'!T11)</f>
        <v/>
      </c>
    </row>
    <row r="12">
      <c r="A12" s="28">
        <f>IF('Visit Log'!C12="","",'Visit Log'!A12)</f>
        <v/>
      </c>
      <c r="B12" s="28">
        <f>IF('Visit Log'!C12="","",'Visit Log'!C12)</f>
        <v/>
      </c>
      <c r="C12" s="28">
        <f>IF('Visit Log'!C12="","",'Visit Log'!D12)</f>
        <v/>
      </c>
      <c r="D12" s="29">
        <f>IF('Visit Log'!C12="","",'Visit Log'!B12)</f>
        <v/>
      </c>
      <c r="E12" s="28">
        <f>IF('Visit Log'!C12="","",IF((IF('Visit Log'!AV12="Yes",", Art","")&amp;IF('Visit Log'!AW12="Yes",", Construction","")&amp;IF('Visit Log'!AX12="Yes",", Costumes","")&amp;IF('Visit Log'!AY12="Yes",", Craft Service","")&amp;IF('Visit Log'!AZ12="Yes",", Electrical","")&amp;IF('Visit Log'!BA12="Yes",", Greens","")&amp;IF('Visit Log'!BB12="Yes",", Grip","")&amp;IF('Visit Log'!BC12="Yes",", Locations","")&amp;IF('Visit Log'!BD12="Yes",", Medic","")&amp;IF('Visit Log'!BE12="Yes",", Paint","")&amp;IF('Visit Log'!BF12="Yes",", Plaster","")&amp;IF('Visit Log'!BG12="Yes",", Props","")&amp;IF('Visit Log'!BH12="Yes",", Set Dec","")&amp;IF('Visit Log'!BI12="Yes",", Set Teacher","")&amp;IF('Visit Log'!BJ12="Yes",", Sound","")&amp;IF('Visit Log'!BK12="Yes",", SPFX","")&amp;IF('Visit Log'!BL12="Yes",", Video",""))="","",MID(IF('Visit Log'!AV12="Yes",", Art","")&amp;IF('Visit Log'!AW12="Yes",", Construction","")&amp;IF('Visit Log'!AX12="Yes",", Costumes","")&amp;IF('Visit Log'!AY12="Yes",", Craft Service","")&amp;IF('Visit Log'!AZ12="Yes",", Electrical","")&amp;IF('Visit Log'!BA12="Yes",", Greens","")&amp;IF('Visit Log'!BB12="Yes",", Grip","")&amp;IF('Visit Log'!BC12="Yes",", Locations","")&amp;IF('Visit Log'!BD12="Yes",", Medic","")&amp;IF('Visit Log'!BE12="Yes",", Paint","")&amp;IF('Visit Log'!BF12="Yes",", Plaster","")&amp;IF('Visit Log'!BG12="Yes",", Props","")&amp;IF('Visit Log'!BH12="Yes",", Set Dec","")&amp;IF('Visit Log'!BI12="Yes",", Set Teacher","")&amp;IF('Visit Log'!BJ12="Yes",", Sound","")&amp;IF('Visit Log'!BK12="Yes",", SPFX","")&amp;IF('Visit Log'!BL12="Yes",", Video",""),3,300)))</f>
        <v/>
      </c>
      <c r="F12" s="28">
        <f>IF('Visit Log'!C12="","",'Visit Log'!T12)</f>
        <v/>
      </c>
    </row>
    <row r="13">
      <c r="A13" s="32">
        <f>IF('Visit Log'!C13="","",'Visit Log'!A13)</f>
        <v/>
      </c>
      <c r="B13" s="32">
        <f>IF('Visit Log'!C13="","",'Visit Log'!C13)</f>
        <v/>
      </c>
      <c r="C13" s="32">
        <f>IF('Visit Log'!C13="","",'Visit Log'!D13)</f>
        <v/>
      </c>
      <c r="D13" s="33">
        <f>IF('Visit Log'!C13="","",'Visit Log'!B13)</f>
        <v/>
      </c>
      <c r="E13" s="32">
        <f>IF('Visit Log'!C13="","",IF((IF('Visit Log'!AV13="Yes",", Art","")&amp;IF('Visit Log'!AW13="Yes",", Construction","")&amp;IF('Visit Log'!AX13="Yes",", Costumes","")&amp;IF('Visit Log'!AY13="Yes",", Craft Service","")&amp;IF('Visit Log'!AZ13="Yes",", Electrical","")&amp;IF('Visit Log'!BA13="Yes",", Greens","")&amp;IF('Visit Log'!BB13="Yes",", Grip","")&amp;IF('Visit Log'!BC13="Yes",", Locations","")&amp;IF('Visit Log'!BD13="Yes",", Medic","")&amp;IF('Visit Log'!BE13="Yes",", Paint","")&amp;IF('Visit Log'!BF13="Yes",", Plaster","")&amp;IF('Visit Log'!BG13="Yes",", Props","")&amp;IF('Visit Log'!BH13="Yes",", Set Dec","")&amp;IF('Visit Log'!BI13="Yes",", Set Teacher","")&amp;IF('Visit Log'!BJ13="Yes",", Sound","")&amp;IF('Visit Log'!BK13="Yes",", SPFX","")&amp;IF('Visit Log'!BL13="Yes",", Video",""))="","",MID(IF('Visit Log'!AV13="Yes",", Art","")&amp;IF('Visit Log'!AW13="Yes",", Construction","")&amp;IF('Visit Log'!AX13="Yes",", Costumes","")&amp;IF('Visit Log'!AY13="Yes",", Craft Service","")&amp;IF('Visit Log'!AZ13="Yes",", Electrical","")&amp;IF('Visit Log'!BA13="Yes",", Greens","")&amp;IF('Visit Log'!BB13="Yes",", Grip","")&amp;IF('Visit Log'!BC13="Yes",", Locations","")&amp;IF('Visit Log'!BD13="Yes",", Medic","")&amp;IF('Visit Log'!BE13="Yes",", Paint","")&amp;IF('Visit Log'!BF13="Yes",", Plaster","")&amp;IF('Visit Log'!BG13="Yes",", Props","")&amp;IF('Visit Log'!BH13="Yes",", Set Dec","")&amp;IF('Visit Log'!BI13="Yes",", Set Teacher","")&amp;IF('Visit Log'!BJ13="Yes",", Sound","")&amp;IF('Visit Log'!BK13="Yes",", SPFX","")&amp;IF('Visit Log'!BL13="Yes",", Video",""),3,300)))</f>
        <v/>
      </c>
      <c r="F13" s="32">
        <f>IF('Visit Log'!C13="","",'Visit Log'!T13)</f>
        <v/>
      </c>
    </row>
    <row r="14">
      <c r="A14" s="28">
        <f>IF('Visit Log'!C14="","",'Visit Log'!A14)</f>
        <v/>
      </c>
      <c r="B14" s="28">
        <f>IF('Visit Log'!C14="","",'Visit Log'!C14)</f>
        <v/>
      </c>
      <c r="C14" s="28">
        <f>IF('Visit Log'!C14="","",'Visit Log'!D14)</f>
        <v/>
      </c>
      <c r="D14" s="29">
        <f>IF('Visit Log'!C14="","",'Visit Log'!B14)</f>
        <v/>
      </c>
      <c r="E14" s="28">
        <f>IF('Visit Log'!C14="","",IF((IF('Visit Log'!AV14="Yes",", Art","")&amp;IF('Visit Log'!AW14="Yes",", Construction","")&amp;IF('Visit Log'!AX14="Yes",", Costumes","")&amp;IF('Visit Log'!AY14="Yes",", Craft Service","")&amp;IF('Visit Log'!AZ14="Yes",", Electrical","")&amp;IF('Visit Log'!BA14="Yes",", Greens","")&amp;IF('Visit Log'!BB14="Yes",", Grip","")&amp;IF('Visit Log'!BC14="Yes",", Locations","")&amp;IF('Visit Log'!BD14="Yes",", Medic","")&amp;IF('Visit Log'!BE14="Yes",", Paint","")&amp;IF('Visit Log'!BF14="Yes",", Plaster","")&amp;IF('Visit Log'!BG14="Yes",", Props","")&amp;IF('Visit Log'!BH14="Yes",", Set Dec","")&amp;IF('Visit Log'!BI14="Yes",", Set Teacher","")&amp;IF('Visit Log'!BJ14="Yes",", Sound","")&amp;IF('Visit Log'!BK14="Yes",", SPFX","")&amp;IF('Visit Log'!BL14="Yes",", Video",""))="","",MID(IF('Visit Log'!AV14="Yes",", Art","")&amp;IF('Visit Log'!AW14="Yes",", Construction","")&amp;IF('Visit Log'!AX14="Yes",", Costumes","")&amp;IF('Visit Log'!AY14="Yes",", Craft Service","")&amp;IF('Visit Log'!AZ14="Yes",", Electrical","")&amp;IF('Visit Log'!BA14="Yes",", Greens","")&amp;IF('Visit Log'!BB14="Yes",", Grip","")&amp;IF('Visit Log'!BC14="Yes",", Locations","")&amp;IF('Visit Log'!BD14="Yes",", Medic","")&amp;IF('Visit Log'!BE14="Yes",", Paint","")&amp;IF('Visit Log'!BF14="Yes",", Plaster","")&amp;IF('Visit Log'!BG14="Yes",", Props","")&amp;IF('Visit Log'!BH14="Yes",", Set Dec","")&amp;IF('Visit Log'!BI14="Yes",", Set Teacher","")&amp;IF('Visit Log'!BJ14="Yes",", Sound","")&amp;IF('Visit Log'!BK14="Yes",", SPFX","")&amp;IF('Visit Log'!BL14="Yes",", Video",""),3,300)))</f>
        <v/>
      </c>
      <c r="F14" s="28">
        <f>IF('Visit Log'!C14="","",'Visit Log'!T14)</f>
        <v/>
      </c>
    </row>
    <row r="15">
      <c r="A15" s="32">
        <f>IF('Visit Log'!C15="","",'Visit Log'!A15)</f>
        <v/>
      </c>
      <c r="B15" s="32">
        <f>IF('Visit Log'!C15="","",'Visit Log'!C15)</f>
        <v/>
      </c>
      <c r="C15" s="32">
        <f>IF('Visit Log'!C15="","",'Visit Log'!D15)</f>
        <v/>
      </c>
      <c r="D15" s="33">
        <f>IF('Visit Log'!C15="","",'Visit Log'!B15)</f>
        <v/>
      </c>
      <c r="E15" s="32">
        <f>IF('Visit Log'!C15="","",IF((IF('Visit Log'!AV15="Yes",", Art","")&amp;IF('Visit Log'!AW15="Yes",", Construction","")&amp;IF('Visit Log'!AX15="Yes",", Costumes","")&amp;IF('Visit Log'!AY15="Yes",", Craft Service","")&amp;IF('Visit Log'!AZ15="Yes",", Electrical","")&amp;IF('Visit Log'!BA15="Yes",", Greens","")&amp;IF('Visit Log'!BB15="Yes",", Grip","")&amp;IF('Visit Log'!BC15="Yes",", Locations","")&amp;IF('Visit Log'!BD15="Yes",", Medic","")&amp;IF('Visit Log'!BE15="Yes",", Paint","")&amp;IF('Visit Log'!BF15="Yes",", Plaster","")&amp;IF('Visit Log'!BG15="Yes",", Props","")&amp;IF('Visit Log'!BH15="Yes",", Set Dec","")&amp;IF('Visit Log'!BI15="Yes",", Set Teacher","")&amp;IF('Visit Log'!BJ15="Yes",", Sound","")&amp;IF('Visit Log'!BK15="Yes",", SPFX","")&amp;IF('Visit Log'!BL15="Yes",", Video",""))="","",MID(IF('Visit Log'!AV15="Yes",", Art","")&amp;IF('Visit Log'!AW15="Yes",", Construction","")&amp;IF('Visit Log'!AX15="Yes",", Costumes","")&amp;IF('Visit Log'!AY15="Yes",", Craft Service","")&amp;IF('Visit Log'!AZ15="Yes",", Electrical","")&amp;IF('Visit Log'!BA15="Yes",", Greens","")&amp;IF('Visit Log'!BB15="Yes",", Grip","")&amp;IF('Visit Log'!BC15="Yes",", Locations","")&amp;IF('Visit Log'!BD15="Yes",", Medic","")&amp;IF('Visit Log'!BE15="Yes",", Paint","")&amp;IF('Visit Log'!BF15="Yes",", Plaster","")&amp;IF('Visit Log'!BG15="Yes",", Props","")&amp;IF('Visit Log'!BH15="Yes",", Set Dec","")&amp;IF('Visit Log'!BI15="Yes",", Set Teacher","")&amp;IF('Visit Log'!BJ15="Yes",", Sound","")&amp;IF('Visit Log'!BK15="Yes",", SPFX","")&amp;IF('Visit Log'!BL15="Yes",", Video",""),3,300)))</f>
        <v/>
      </c>
      <c r="F15" s="32">
        <f>IF('Visit Log'!C15="","",'Visit Log'!T15)</f>
        <v/>
      </c>
    </row>
    <row r="16">
      <c r="A16" s="28">
        <f>IF('Visit Log'!C16="","",'Visit Log'!A16)</f>
        <v/>
      </c>
      <c r="B16" s="28">
        <f>IF('Visit Log'!C16="","",'Visit Log'!C16)</f>
        <v/>
      </c>
      <c r="C16" s="28">
        <f>IF('Visit Log'!C16="","",'Visit Log'!D16)</f>
        <v/>
      </c>
      <c r="D16" s="29">
        <f>IF('Visit Log'!C16="","",'Visit Log'!B16)</f>
        <v/>
      </c>
      <c r="E16" s="28">
        <f>IF('Visit Log'!C16="","",IF((IF('Visit Log'!AV16="Yes",", Art","")&amp;IF('Visit Log'!AW16="Yes",", Construction","")&amp;IF('Visit Log'!AX16="Yes",", Costumes","")&amp;IF('Visit Log'!AY16="Yes",", Craft Service","")&amp;IF('Visit Log'!AZ16="Yes",", Electrical","")&amp;IF('Visit Log'!BA16="Yes",", Greens","")&amp;IF('Visit Log'!BB16="Yes",", Grip","")&amp;IF('Visit Log'!BC16="Yes",", Locations","")&amp;IF('Visit Log'!BD16="Yes",", Medic","")&amp;IF('Visit Log'!BE16="Yes",", Paint","")&amp;IF('Visit Log'!BF16="Yes",", Plaster","")&amp;IF('Visit Log'!BG16="Yes",", Props","")&amp;IF('Visit Log'!BH16="Yes",", Set Dec","")&amp;IF('Visit Log'!BI16="Yes",", Set Teacher","")&amp;IF('Visit Log'!BJ16="Yes",", Sound","")&amp;IF('Visit Log'!BK16="Yes",", SPFX","")&amp;IF('Visit Log'!BL16="Yes",", Video",""))="","",MID(IF('Visit Log'!AV16="Yes",", Art","")&amp;IF('Visit Log'!AW16="Yes",", Construction","")&amp;IF('Visit Log'!AX16="Yes",", Costumes","")&amp;IF('Visit Log'!AY16="Yes",", Craft Service","")&amp;IF('Visit Log'!AZ16="Yes",", Electrical","")&amp;IF('Visit Log'!BA16="Yes",", Greens","")&amp;IF('Visit Log'!BB16="Yes",", Grip","")&amp;IF('Visit Log'!BC16="Yes",", Locations","")&amp;IF('Visit Log'!BD16="Yes",", Medic","")&amp;IF('Visit Log'!BE16="Yes",", Paint","")&amp;IF('Visit Log'!BF16="Yes",", Plaster","")&amp;IF('Visit Log'!BG16="Yes",", Props","")&amp;IF('Visit Log'!BH16="Yes",", Set Dec","")&amp;IF('Visit Log'!BI16="Yes",", Set Teacher","")&amp;IF('Visit Log'!BJ16="Yes",", Sound","")&amp;IF('Visit Log'!BK16="Yes",", SPFX","")&amp;IF('Visit Log'!BL16="Yes",", Video",""),3,300)))</f>
        <v/>
      </c>
      <c r="F16" s="28">
        <f>IF('Visit Log'!C16="","",'Visit Log'!T16)</f>
        <v/>
      </c>
    </row>
    <row r="17">
      <c r="A17" s="32">
        <f>IF('Visit Log'!C17="","",'Visit Log'!A17)</f>
        <v/>
      </c>
      <c r="B17" s="32">
        <f>IF('Visit Log'!C17="","",'Visit Log'!C17)</f>
        <v/>
      </c>
      <c r="C17" s="32">
        <f>IF('Visit Log'!C17="","",'Visit Log'!D17)</f>
        <v/>
      </c>
      <c r="D17" s="33">
        <f>IF('Visit Log'!C17="","",'Visit Log'!B17)</f>
        <v/>
      </c>
      <c r="E17" s="32">
        <f>IF('Visit Log'!C17="","",IF((IF('Visit Log'!AV17="Yes",", Art","")&amp;IF('Visit Log'!AW17="Yes",", Construction","")&amp;IF('Visit Log'!AX17="Yes",", Costumes","")&amp;IF('Visit Log'!AY17="Yes",", Craft Service","")&amp;IF('Visit Log'!AZ17="Yes",", Electrical","")&amp;IF('Visit Log'!BA17="Yes",", Greens","")&amp;IF('Visit Log'!BB17="Yes",", Grip","")&amp;IF('Visit Log'!BC17="Yes",", Locations","")&amp;IF('Visit Log'!BD17="Yes",", Medic","")&amp;IF('Visit Log'!BE17="Yes",", Paint","")&amp;IF('Visit Log'!BF17="Yes",", Plaster","")&amp;IF('Visit Log'!BG17="Yes",", Props","")&amp;IF('Visit Log'!BH17="Yes",", Set Dec","")&amp;IF('Visit Log'!BI17="Yes",", Set Teacher","")&amp;IF('Visit Log'!BJ17="Yes",", Sound","")&amp;IF('Visit Log'!BK17="Yes",", SPFX","")&amp;IF('Visit Log'!BL17="Yes",", Video",""))="","",MID(IF('Visit Log'!AV17="Yes",", Art","")&amp;IF('Visit Log'!AW17="Yes",", Construction","")&amp;IF('Visit Log'!AX17="Yes",", Costumes","")&amp;IF('Visit Log'!AY17="Yes",", Craft Service","")&amp;IF('Visit Log'!AZ17="Yes",", Electrical","")&amp;IF('Visit Log'!BA17="Yes",", Greens","")&amp;IF('Visit Log'!BB17="Yes",", Grip","")&amp;IF('Visit Log'!BC17="Yes",", Locations","")&amp;IF('Visit Log'!BD17="Yes",", Medic","")&amp;IF('Visit Log'!BE17="Yes",", Paint","")&amp;IF('Visit Log'!BF17="Yes",", Plaster","")&amp;IF('Visit Log'!BG17="Yes",", Props","")&amp;IF('Visit Log'!BH17="Yes",", Set Dec","")&amp;IF('Visit Log'!BI17="Yes",", Set Teacher","")&amp;IF('Visit Log'!BJ17="Yes",", Sound","")&amp;IF('Visit Log'!BK17="Yes",", SPFX","")&amp;IF('Visit Log'!BL17="Yes",", Video",""),3,300)))</f>
        <v/>
      </c>
      <c r="F17" s="32">
        <f>IF('Visit Log'!C17="","",'Visit Log'!T17)</f>
        <v/>
      </c>
    </row>
    <row r="18">
      <c r="A18" s="28">
        <f>IF('Visit Log'!C18="","",'Visit Log'!A18)</f>
        <v/>
      </c>
      <c r="B18" s="28">
        <f>IF('Visit Log'!C18="","",'Visit Log'!C18)</f>
        <v/>
      </c>
      <c r="C18" s="28">
        <f>IF('Visit Log'!C18="","",'Visit Log'!D18)</f>
        <v/>
      </c>
      <c r="D18" s="29">
        <f>IF('Visit Log'!C18="","",'Visit Log'!B18)</f>
        <v/>
      </c>
      <c r="E18" s="28">
        <f>IF('Visit Log'!C18="","",IF((IF('Visit Log'!AV18="Yes",", Art","")&amp;IF('Visit Log'!AW18="Yes",", Construction","")&amp;IF('Visit Log'!AX18="Yes",", Costumes","")&amp;IF('Visit Log'!AY18="Yes",", Craft Service","")&amp;IF('Visit Log'!AZ18="Yes",", Electrical","")&amp;IF('Visit Log'!BA18="Yes",", Greens","")&amp;IF('Visit Log'!BB18="Yes",", Grip","")&amp;IF('Visit Log'!BC18="Yes",", Locations","")&amp;IF('Visit Log'!BD18="Yes",", Medic","")&amp;IF('Visit Log'!BE18="Yes",", Paint","")&amp;IF('Visit Log'!BF18="Yes",", Plaster","")&amp;IF('Visit Log'!BG18="Yes",", Props","")&amp;IF('Visit Log'!BH18="Yes",", Set Dec","")&amp;IF('Visit Log'!BI18="Yes",", Set Teacher","")&amp;IF('Visit Log'!BJ18="Yes",", Sound","")&amp;IF('Visit Log'!BK18="Yes",", SPFX","")&amp;IF('Visit Log'!BL18="Yes",", Video",""))="","",MID(IF('Visit Log'!AV18="Yes",", Art","")&amp;IF('Visit Log'!AW18="Yes",", Construction","")&amp;IF('Visit Log'!AX18="Yes",", Costumes","")&amp;IF('Visit Log'!AY18="Yes",", Craft Service","")&amp;IF('Visit Log'!AZ18="Yes",", Electrical","")&amp;IF('Visit Log'!BA18="Yes",", Greens","")&amp;IF('Visit Log'!BB18="Yes",", Grip","")&amp;IF('Visit Log'!BC18="Yes",", Locations","")&amp;IF('Visit Log'!BD18="Yes",", Medic","")&amp;IF('Visit Log'!BE18="Yes",", Paint","")&amp;IF('Visit Log'!BF18="Yes",", Plaster","")&amp;IF('Visit Log'!BG18="Yes",", Props","")&amp;IF('Visit Log'!BH18="Yes",", Set Dec","")&amp;IF('Visit Log'!BI18="Yes",", Set Teacher","")&amp;IF('Visit Log'!BJ18="Yes",", Sound","")&amp;IF('Visit Log'!BK18="Yes",", SPFX","")&amp;IF('Visit Log'!BL18="Yes",", Video",""),3,300)))</f>
        <v/>
      </c>
      <c r="F18" s="28">
        <f>IF('Visit Log'!C18="","",'Visit Log'!T18)</f>
        <v/>
      </c>
    </row>
    <row r="19">
      <c r="A19" s="32">
        <f>IF('Visit Log'!C19="","",'Visit Log'!A19)</f>
        <v/>
      </c>
      <c r="B19" s="32">
        <f>IF('Visit Log'!C19="","",'Visit Log'!C19)</f>
        <v/>
      </c>
      <c r="C19" s="32">
        <f>IF('Visit Log'!C19="","",'Visit Log'!D19)</f>
        <v/>
      </c>
      <c r="D19" s="33">
        <f>IF('Visit Log'!C19="","",'Visit Log'!B19)</f>
        <v/>
      </c>
      <c r="E19" s="32">
        <f>IF('Visit Log'!C19="","",IF((IF('Visit Log'!AV19="Yes",", Art","")&amp;IF('Visit Log'!AW19="Yes",", Construction","")&amp;IF('Visit Log'!AX19="Yes",", Costumes","")&amp;IF('Visit Log'!AY19="Yes",", Craft Service","")&amp;IF('Visit Log'!AZ19="Yes",", Electrical","")&amp;IF('Visit Log'!BA19="Yes",", Greens","")&amp;IF('Visit Log'!BB19="Yes",", Grip","")&amp;IF('Visit Log'!BC19="Yes",", Locations","")&amp;IF('Visit Log'!BD19="Yes",", Medic","")&amp;IF('Visit Log'!BE19="Yes",", Paint","")&amp;IF('Visit Log'!BF19="Yes",", Plaster","")&amp;IF('Visit Log'!BG19="Yes",", Props","")&amp;IF('Visit Log'!BH19="Yes",", Set Dec","")&amp;IF('Visit Log'!BI19="Yes",", Set Teacher","")&amp;IF('Visit Log'!BJ19="Yes",", Sound","")&amp;IF('Visit Log'!BK19="Yes",", SPFX","")&amp;IF('Visit Log'!BL19="Yes",", Video",""))="","",MID(IF('Visit Log'!AV19="Yes",", Art","")&amp;IF('Visit Log'!AW19="Yes",", Construction","")&amp;IF('Visit Log'!AX19="Yes",", Costumes","")&amp;IF('Visit Log'!AY19="Yes",", Craft Service","")&amp;IF('Visit Log'!AZ19="Yes",", Electrical","")&amp;IF('Visit Log'!BA19="Yes",", Greens","")&amp;IF('Visit Log'!BB19="Yes",", Grip","")&amp;IF('Visit Log'!BC19="Yes",", Locations","")&amp;IF('Visit Log'!BD19="Yes",", Medic","")&amp;IF('Visit Log'!BE19="Yes",", Paint","")&amp;IF('Visit Log'!BF19="Yes",", Plaster","")&amp;IF('Visit Log'!BG19="Yes",", Props","")&amp;IF('Visit Log'!BH19="Yes",", Set Dec","")&amp;IF('Visit Log'!BI19="Yes",", Set Teacher","")&amp;IF('Visit Log'!BJ19="Yes",", Sound","")&amp;IF('Visit Log'!BK19="Yes",", SPFX","")&amp;IF('Visit Log'!BL19="Yes",", Video",""),3,300)))</f>
        <v/>
      </c>
      <c r="F19" s="32">
        <f>IF('Visit Log'!C19="","",'Visit Log'!T19)</f>
        <v/>
      </c>
    </row>
    <row r="20">
      <c r="A20" s="28">
        <f>IF('Visit Log'!C20="","",'Visit Log'!A20)</f>
        <v/>
      </c>
      <c r="B20" s="28">
        <f>IF('Visit Log'!C20="","",'Visit Log'!C20)</f>
        <v/>
      </c>
      <c r="C20" s="28">
        <f>IF('Visit Log'!C20="","",'Visit Log'!D20)</f>
        <v/>
      </c>
      <c r="D20" s="29">
        <f>IF('Visit Log'!C20="","",'Visit Log'!B20)</f>
        <v/>
      </c>
      <c r="E20" s="28">
        <f>IF('Visit Log'!C20="","",IF((IF('Visit Log'!AV20="Yes",", Art","")&amp;IF('Visit Log'!AW20="Yes",", Construction","")&amp;IF('Visit Log'!AX20="Yes",", Costumes","")&amp;IF('Visit Log'!AY20="Yes",", Craft Service","")&amp;IF('Visit Log'!AZ20="Yes",", Electrical","")&amp;IF('Visit Log'!BA20="Yes",", Greens","")&amp;IF('Visit Log'!BB20="Yes",", Grip","")&amp;IF('Visit Log'!BC20="Yes",", Locations","")&amp;IF('Visit Log'!BD20="Yes",", Medic","")&amp;IF('Visit Log'!BE20="Yes",", Paint","")&amp;IF('Visit Log'!BF20="Yes",", Plaster","")&amp;IF('Visit Log'!BG20="Yes",", Props","")&amp;IF('Visit Log'!BH20="Yes",", Set Dec","")&amp;IF('Visit Log'!BI20="Yes",", Set Teacher","")&amp;IF('Visit Log'!BJ20="Yes",", Sound","")&amp;IF('Visit Log'!BK20="Yes",", SPFX","")&amp;IF('Visit Log'!BL20="Yes",", Video",""))="","",MID(IF('Visit Log'!AV20="Yes",", Art","")&amp;IF('Visit Log'!AW20="Yes",", Construction","")&amp;IF('Visit Log'!AX20="Yes",", Costumes","")&amp;IF('Visit Log'!AY20="Yes",", Craft Service","")&amp;IF('Visit Log'!AZ20="Yes",", Electrical","")&amp;IF('Visit Log'!BA20="Yes",", Greens","")&amp;IF('Visit Log'!BB20="Yes",", Grip","")&amp;IF('Visit Log'!BC20="Yes",", Locations","")&amp;IF('Visit Log'!BD20="Yes",", Medic","")&amp;IF('Visit Log'!BE20="Yes",", Paint","")&amp;IF('Visit Log'!BF20="Yes",", Plaster","")&amp;IF('Visit Log'!BG20="Yes",", Props","")&amp;IF('Visit Log'!BH20="Yes",", Set Dec","")&amp;IF('Visit Log'!BI20="Yes",", Set Teacher","")&amp;IF('Visit Log'!BJ20="Yes",", Sound","")&amp;IF('Visit Log'!BK20="Yes",", SPFX","")&amp;IF('Visit Log'!BL20="Yes",", Video",""),3,300)))</f>
        <v/>
      </c>
      <c r="F20" s="28">
        <f>IF('Visit Log'!C20="","",'Visit Log'!T20)</f>
        <v/>
      </c>
    </row>
    <row r="21">
      <c r="A21" s="32">
        <f>IF('Visit Log'!C21="","",'Visit Log'!A21)</f>
        <v/>
      </c>
      <c r="B21" s="32">
        <f>IF('Visit Log'!C21="","",'Visit Log'!C21)</f>
        <v/>
      </c>
      <c r="C21" s="32">
        <f>IF('Visit Log'!C21="","",'Visit Log'!D21)</f>
        <v/>
      </c>
      <c r="D21" s="33">
        <f>IF('Visit Log'!C21="","",'Visit Log'!B21)</f>
        <v/>
      </c>
      <c r="E21" s="32">
        <f>IF('Visit Log'!C21="","",IF((IF('Visit Log'!AV21="Yes",", Art","")&amp;IF('Visit Log'!AW21="Yes",", Construction","")&amp;IF('Visit Log'!AX21="Yes",", Costumes","")&amp;IF('Visit Log'!AY21="Yes",", Craft Service","")&amp;IF('Visit Log'!AZ21="Yes",", Electrical","")&amp;IF('Visit Log'!BA21="Yes",", Greens","")&amp;IF('Visit Log'!BB21="Yes",", Grip","")&amp;IF('Visit Log'!BC21="Yes",", Locations","")&amp;IF('Visit Log'!BD21="Yes",", Medic","")&amp;IF('Visit Log'!BE21="Yes",", Paint","")&amp;IF('Visit Log'!BF21="Yes",", Plaster","")&amp;IF('Visit Log'!BG21="Yes",", Props","")&amp;IF('Visit Log'!BH21="Yes",", Set Dec","")&amp;IF('Visit Log'!BI21="Yes",", Set Teacher","")&amp;IF('Visit Log'!BJ21="Yes",", Sound","")&amp;IF('Visit Log'!BK21="Yes",", SPFX","")&amp;IF('Visit Log'!BL21="Yes",", Video",""))="","",MID(IF('Visit Log'!AV21="Yes",", Art","")&amp;IF('Visit Log'!AW21="Yes",", Construction","")&amp;IF('Visit Log'!AX21="Yes",", Costumes","")&amp;IF('Visit Log'!AY21="Yes",", Craft Service","")&amp;IF('Visit Log'!AZ21="Yes",", Electrical","")&amp;IF('Visit Log'!BA21="Yes",", Greens","")&amp;IF('Visit Log'!BB21="Yes",", Grip","")&amp;IF('Visit Log'!BC21="Yes",", Locations","")&amp;IF('Visit Log'!BD21="Yes",", Medic","")&amp;IF('Visit Log'!BE21="Yes",", Paint","")&amp;IF('Visit Log'!BF21="Yes",", Plaster","")&amp;IF('Visit Log'!BG21="Yes",", Props","")&amp;IF('Visit Log'!BH21="Yes",", Set Dec","")&amp;IF('Visit Log'!BI21="Yes",", Set Teacher","")&amp;IF('Visit Log'!BJ21="Yes",", Sound","")&amp;IF('Visit Log'!BK21="Yes",", SPFX","")&amp;IF('Visit Log'!BL21="Yes",", Video",""),3,300)))</f>
        <v/>
      </c>
      <c r="F21" s="32">
        <f>IF('Visit Log'!C21="","",'Visit Log'!T21)</f>
        <v/>
      </c>
    </row>
    <row r="22">
      <c r="A22" s="28">
        <f>IF('Visit Log'!C22="","",'Visit Log'!A22)</f>
        <v/>
      </c>
      <c r="B22" s="28">
        <f>IF('Visit Log'!C22="","",'Visit Log'!C22)</f>
        <v/>
      </c>
      <c r="C22" s="28">
        <f>IF('Visit Log'!C22="","",'Visit Log'!D22)</f>
        <v/>
      </c>
      <c r="D22" s="29">
        <f>IF('Visit Log'!C22="","",'Visit Log'!B22)</f>
        <v/>
      </c>
      <c r="E22" s="28">
        <f>IF('Visit Log'!C22="","",IF((IF('Visit Log'!AV22="Yes",", Art","")&amp;IF('Visit Log'!AW22="Yes",", Construction","")&amp;IF('Visit Log'!AX22="Yes",", Costumes","")&amp;IF('Visit Log'!AY22="Yes",", Craft Service","")&amp;IF('Visit Log'!AZ22="Yes",", Electrical","")&amp;IF('Visit Log'!BA22="Yes",", Greens","")&amp;IF('Visit Log'!BB22="Yes",", Grip","")&amp;IF('Visit Log'!BC22="Yes",", Locations","")&amp;IF('Visit Log'!BD22="Yes",", Medic","")&amp;IF('Visit Log'!BE22="Yes",", Paint","")&amp;IF('Visit Log'!BF22="Yes",", Plaster","")&amp;IF('Visit Log'!BG22="Yes",", Props","")&amp;IF('Visit Log'!BH22="Yes",", Set Dec","")&amp;IF('Visit Log'!BI22="Yes",", Set Teacher","")&amp;IF('Visit Log'!BJ22="Yes",", Sound","")&amp;IF('Visit Log'!BK22="Yes",", SPFX","")&amp;IF('Visit Log'!BL22="Yes",", Video",""))="","",MID(IF('Visit Log'!AV22="Yes",", Art","")&amp;IF('Visit Log'!AW22="Yes",", Construction","")&amp;IF('Visit Log'!AX22="Yes",", Costumes","")&amp;IF('Visit Log'!AY22="Yes",", Craft Service","")&amp;IF('Visit Log'!AZ22="Yes",", Electrical","")&amp;IF('Visit Log'!BA22="Yes",", Greens","")&amp;IF('Visit Log'!BB22="Yes",", Grip","")&amp;IF('Visit Log'!BC22="Yes",", Locations","")&amp;IF('Visit Log'!BD22="Yes",", Medic","")&amp;IF('Visit Log'!BE22="Yes",", Paint","")&amp;IF('Visit Log'!BF22="Yes",", Plaster","")&amp;IF('Visit Log'!BG22="Yes",", Props","")&amp;IF('Visit Log'!BH22="Yes",", Set Dec","")&amp;IF('Visit Log'!BI22="Yes",", Set Teacher","")&amp;IF('Visit Log'!BJ22="Yes",", Sound","")&amp;IF('Visit Log'!BK22="Yes",", SPFX","")&amp;IF('Visit Log'!BL22="Yes",", Video",""),3,300)))</f>
        <v/>
      </c>
      <c r="F22" s="28">
        <f>IF('Visit Log'!C22="","",'Visit Log'!T22)</f>
        <v/>
      </c>
    </row>
    <row r="23">
      <c r="A23" s="32">
        <f>IF('Visit Log'!C23="","",'Visit Log'!A23)</f>
        <v/>
      </c>
      <c r="B23" s="32">
        <f>IF('Visit Log'!C23="","",'Visit Log'!C23)</f>
        <v/>
      </c>
      <c r="C23" s="32">
        <f>IF('Visit Log'!C23="","",'Visit Log'!D23)</f>
        <v/>
      </c>
      <c r="D23" s="33">
        <f>IF('Visit Log'!C23="","",'Visit Log'!B23)</f>
        <v/>
      </c>
      <c r="E23" s="32">
        <f>IF('Visit Log'!C23="","",IF((IF('Visit Log'!AV23="Yes",", Art","")&amp;IF('Visit Log'!AW23="Yes",", Construction","")&amp;IF('Visit Log'!AX23="Yes",", Costumes","")&amp;IF('Visit Log'!AY23="Yes",", Craft Service","")&amp;IF('Visit Log'!AZ23="Yes",", Electrical","")&amp;IF('Visit Log'!BA23="Yes",", Greens","")&amp;IF('Visit Log'!BB23="Yes",", Grip","")&amp;IF('Visit Log'!BC23="Yes",", Locations","")&amp;IF('Visit Log'!BD23="Yes",", Medic","")&amp;IF('Visit Log'!BE23="Yes",", Paint","")&amp;IF('Visit Log'!BF23="Yes",", Plaster","")&amp;IF('Visit Log'!BG23="Yes",", Props","")&amp;IF('Visit Log'!BH23="Yes",", Set Dec","")&amp;IF('Visit Log'!BI23="Yes",", Set Teacher","")&amp;IF('Visit Log'!BJ23="Yes",", Sound","")&amp;IF('Visit Log'!BK23="Yes",", SPFX","")&amp;IF('Visit Log'!BL23="Yes",", Video",""))="","",MID(IF('Visit Log'!AV23="Yes",", Art","")&amp;IF('Visit Log'!AW23="Yes",", Construction","")&amp;IF('Visit Log'!AX23="Yes",", Costumes","")&amp;IF('Visit Log'!AY23="Yes",", Craft Service","")&amp;IF('Visit Log'!AZ23="Yes",", Electrical","")&amp;IF('Visit Log'!BA23="Yes",", Greens","")&amp;IF('Visit Log'!BB23="Yes",", Grip","")&amp;IF('Visit Log'!BC23="Yes",", Locations","")&amp;IF('Visit Log'!BD23="Yes",", Medic","")&amp;IF('Visit Log'!BE23="Yes",", Paint","")&amp;IF('Visit Log'!BF23="Yes",", Plaster","")&amp;IF('Visit Log'!BG23="Yes",", Props","")&amp;IF('Visit Log'!BH23="Yes",", Set Dec","")&amp;IF('Visit Log'!BI23="Yes",", Set Teacher","")&amp;IF('Visit Log'!BJ23="Yes",", Sound","")&amp;IF('Visit Log'!BK23="Yes",", SPFX","")&amp;IF('Visit Log'!BL23="Yes",", Video",""),3,300)))</f>
        <v/>
      </c>
      <c r="F23" s="32">
        <f>IF('Visit Log'!C23="","",'Visit Log'!T23)</f>
        <v/>
      </c>
    </row>
    <row r="24">
      <c r="A24" s="28">
        <f>IF('Visit Log'!C24="","",'Visit Log'!A24)</f>
        <v/>
      </c>
      <c r="B24" s="28">
        <f>IF('Visit Log'!C24="","",'Visit Log'!C24)</f>
        <v/>
      </c>
      <c r="C24" s="28">
        <f>IF('Visit Log'!C24="","",'Visit Log'!D24)</f>
        <v/>
      </c>
      <c r="D24" s="29">
        <f>IF('Visit Log'!C24="","",'Visit Log'!B24)</f>
        <v/>
      </c>
      <c r="E24" s="28">
        <f>IF('Visit Log'!C24="","",IF((IF('Visit Log'!AV24="Yes",", Art","")&amp;IF('Visit Log'!AW24="Yes",", Construction","")&amp;IF('Visit Log'!AX24="Yes",", Costumes","")&amp;IF('Visit Log'!AY24="Yes",", Craft Service","")&amp;IF('Visit Log'!AZ24="Yes",", Electrical","")&amp;IF('Visit Log'!BA24="Yes",", Greens","")&amp;IF('Visit Log'!BB24="Yes",", Grip","")&amp;IF('Visit Log'!BC24="Yes",", Locations","")&amp;IF('Visit Log'!BD24="Yes",", Medic","")&amp;IF('Visit Log'!BE24="Yes",", Paint","")&amp;IF('Visit Log'!BF24="Yes",", Plaster","")&amp;IF('Visit Log'!BG24="Yes",", Props","")&amp;IF('Visit Log'!BH24="Yes",", Set Dec","")&amp;IF('Visit Log'!BI24="Yes",", Set Teacher","")&amp;IF('Visit Log'!BJ24="Yes",", Sound","")&amp;IF('Visit Log'!BK24="Yes",", SPFX","")&amp;IF('Visit Log'!BL24="Yes",", Video",""))="","",MID(IF('Visit Log'!AV24="Yes",", Art","")&amp;IF('Visit Log'!AW24="Yes",", Construction","")&amp;IF('Visit Log'!AX24="Yes",", Costumes","")&amp;IF('Visit Log'!AY24="Yes",", Craft Service","")&amp;IF('Visit Log'!AZ24="Yes",", Electrical","")&amp;IF('Visit Log'!BA24="Yes",", Greens","")&amp;IF('Visit Log'!BB24="Yes",", Grip","")&amp;IF('Visit Log'!BC24="Yes",", Locations","")&amp;IF('Visit Log'!BD24="Yes",", Medic","")&amp;IF('Visit Log'!BE24="Yes",", Paint","")&amp;IF('Visit Log'!BF24="Yes",", Plaster","")&amp;IF('Visit Log'!BG24="Yes",", Props","")&amp;IF('Visit Log'!BH24="Yes",", Set Dec","")&amp;IF('Visit Log'!BI24="Yes",", Set Teacher","")&amp;IF('Visit Log'!BJ24="Yes",", Sound","")&amp;IF('Visit Log'!BK24="Yes",", SPFX","")&amp;IF('Visit Log'!BL24="Yes",", Video",""),3,300)))</f>
        <v/>
      </c>
      <c r="F24" s="28">
        <f>IF('Visit Log'!C24="","",'Visit Log'!T24)</f>
        <v/>
      </c>
    </row>
    <row r="25">
      <c r="A25" s="32">
        <f>IF('Visit Log'!C25="","",'Visit Log'!A25)</f>
        <v/>
      </c>
      <c r="B25" s="32">
        <f>IF('Visit Log'!C25="","",'Visit Log'!C25)</f>
        <v/>
      </c>
      <c r="C25" s="32">
        <f>IF('Visit Log'!C25="","",'Visit Log'!D25)</f>
        <v/>
      </c>
      <c r="D25" s="33">
        <f>IF('Visit Log'!C25="","",'Visit Log'!B25)</f>
        <v/>
      </c>
      <c r="E25" s="32">
        <f>IF('Visit Log'!C25="","",IF((IF('Visit Log'!AV25="Yes",", Art","")&amp;IF('Visit Log'!AW25="Yes",", Construction","")&amp;IF('Visit Log'!AX25="Yes",", Costumes","")&amp;IF('Visit Log'!AY25="Yes",", Craft Service","")&amp;IF('Visit Log'!AZ25="Yes",", Electrical","")&amp;IF('Visit Log'!BA25="Yes",", Greens","")&amp;IF('Visit Log'!BB25="Yes",", Grip","")&amp;IF('Visit Log'!BC25="Yes",", Locations","")&amp;IF('Visit Log'!BD25="Yes",", Medic","")&amp;IF('Visit Log'!BE25="Yes",", Paint","")&amp;IF('Visit Log'!BF25="Yes",", Plaster","")&amp;IF('Visit Log'!BG25="Yes",", Props","")&amp;IF('Visit Log'!BH25="Yes",", Set Dec","")&amp;IF('Visit Log'!BI25="Yes",", Set Teacher","")&amp;IF('Visit Log'!BJ25="Yes",", Sound","")&amp;IF('Visit Log'!BK25="Yes",", SPFX","")&amp;IF('Visit Log'!BL25="Yes",", Video",""))="","",MID(IF('Visit Log'!AV25="Yes",", Art","")&amp;IF('Visit Log'!AW25="Yes",", Construction","")&amp;IF('Visit Log'!AX25="Yes",", Costumes","")&amp;IF('Visit Log'!AY25="Yes",", Craft Service","")&amp;IF('Visit Log'!AZ25="Yes",", Electrical","")&amp;IF('Visit Log'!BA25="Yes",", Greens","")&amp;IF('Visit Log'!BB25="Yes",", Grip","")&amp;IF('Visit Log'!BC25="Yes",", Locations","")&amp;IF('Visit Log'!BD25="Yes",", Medic","")&amp;IF('Visit Log'!BE25="Yes",", Paint","")&amp;IF('Visit Log'!BF25="Yes",", Plaster","")&amp;IF('Visit Log'!BG25="Yes",", Props","")&amp;IF('Visit Log'!BH25="Yes",", Set Dec","")&amp;IF('Visit Log'!BI25="Yes",", Set Teacher","")&amp;IF('Visit Log'!BJ25="Yes",", Sound","")&amp;IF('Visit Log'!BK25="Yes",", SPFX","")&amp;IF('Visit Log'!BL25="Yes",", Video",""),3,300)))</f>
        <v/>
      </c>
      <c r="F25" s="32">
        <f>IF('Visit Log'!C25="","",'Visit Log'!T25)</f>
        <v/>
      </c>
    </row>
    <row r="26">
      <c r="A26" s="28">
        <f>IF('Visit Log'!C26="","",'Visit Log'!A26)</f>
        <v/>
      </c>
      <c r="B26" s="28">
        <f>IF('Visit Log'!C26="","",'Visit Log'!C26)</f>
        <v/>
      </c>
      <c r="C26" s="28">
        <f>IF('Visit Log'!C26="","",'Visit Log'!D26)</f>
        <v/>
      </c>
      <c r="D26" s="29">
        <f>IF('Visit Log'!C26="","",'Visit Log'!B26)</f>
        <v/>
      </c>
      <c r="E26" s="28">
        <f>IF('Visit Log'!C26="","",IF((IF('Visit Log'!AV26="Yes",", Art","")&amp;IF('Visit Log'!AW26="Yes",", Construction","")&amp;IF('Visit Log'!AX26="Yes",", Costumes","")&amp;IF('Visit Log'!AY26="Yes",", Craft Service","")&amp;IF('Visit Log'!AZ26="Yes",", Electrical","")&amp;IF('Visit Log'!BA26="Yes",", Greens","")&amp;IF('Visit Log'!BB26="Yes",", Grip","")&amp;IF('Visit Log'!BC26="Yes",", Locations","")&amp;IF('Visit Log'!BD26="Yes",", Medic","")&amp;IF('Visit Log'!BE26="Yes",", Paint","")&amp;IF('Visit Log'!BF26="Yes",", Plaster","")&amp;IF('Visit Log'!BG26="Yes",", Props","")&amp;IF('Visit Log'!BH26="Yes",", Set Dec","")&amp;IF('Visit Log'!BI26="Yes",", Set Teacher","")&amp;IF('Visit Log'!BJ26="Yes",", Sound","")&amp;IF('Visit Log'!BK26="Yes",", SPFX","")&amp;IF('Visit Log'!BL26="Yes",", Video",""))="","",MID(IF('Visit Log'!AV26="Yes",", Art","")&amp;IF('Visit Log'!AW26="Yes",", Construction","")&amp;IF('Visit Log'!AX26="Yes",", Costumes","")&amp;IF('Visit Log'!AY26="Yes",", Craft Service","")&amp;IF('Visit Log'!AZ26="Yes",", Electrical","")&amp;IF('Visit Log'!BA26="Yes",", Greens","")&amp;IF('Visit Log'!BB26="Yes",", Grip","")&amp;IF('Visit Log'!BC26="Yes",", Locations","")&amp;IF('Visit Log'!BD26="Yes",", Medic","")&amp;IF('Visit Log'!BE26="Yes",", Paint","")&amp;IF('Visit Log'!BF26="Yes",", Plaster","")&amp;IF('Visit Log'!BG26="Yes",", Props","")&amp;IF('Visit Log'!BH26="Yes",", Set Dec","")&amp;IF('Visit Log'!BI26="Yes",", Set Teacher","")&amp;IF('Visit Log'!BJ26="Yes",", Sound","")&amp;IF('Visit Log'!BK26="Yes",", SPFX","")&amp;IF('Visit Log'!BL26="Yes",", Video",""),3,300)))</f>
        <v/>
      </c>
      <c r="F26" s="28">
        <f>IF('Visit Log'!C26="","",'Visit Log'!T26)</f>
        <v/>
      </c>
    </row>
    <row r="27">
      <c r="A27" s="32">
        <f>IF('Visit Log'!C27="","",'Visit Log'!A27)</f>
        <v/>
      </c>
      <c r="B27" s="32">
        <f>IF('Visit Log'!C27="","",'Visit Log'!C27)</f>
        <v/>
      </c>
      <c r="C27" s="32">
        <f>IF('Visit Log'!C27="","",'Visit Log'!D27)</f>
        <v/>
      </c>
      <c r="D27" s="33">
        <f>IF('Visit Log'!C27="","",'Visit Log'!B27)</f>
        <v/>
      </c>
      <c r="E27" s="32">
        <f>IF('Visit Log'!C27="","",IF((IF('Visit Log'!AV27="Yes",", Art","")&amp;IF('Visit Log'!AW27="Yes",", Construction","")&amp;IF('Visit Log'!AX27="Yes",", Costumes","")&amp;IF('Visit Log'!AY27="Yes",", Craft Service","")&amp;IF('Visit Log'!AZ27="Yes",", Electrical","")&amp;IF('Visit Log'!BA27="Yes",", Greens","")&amp;IF('Visit Log'!BB27="Yes",", Grip","")&amp;IF('Visit Log'!BC27="Yes",", Locations","")&amp;IF('Visit Log'!BD27="Yes",", Medic","")&amp;IF('Visit Log'!BE27="Yes",", Paint","")&amp;IF('Visit Log'!BF27="Yes",", Plaster","")&amp;IF('Visit Log'!BG27="Yes",", Props","")&amp;IF('Visit Log'!BH27="Yes",", Set Dec","")&amp;IF('Visit Log'!BI27="Yes",", Set Teacher","")&amp;IF('Visit Log'!BJ27="Yes",", Sound","")&amp;IF('Visit Log'!BK27="Yes",", SPFX","")&amp;IF('Visit Log'!BL27="Yes",", Video",""))="","",MID(IF('Visit Log'!AV27="Yes",", Art","")&amp;IF('Visit Log'!AW27="Yes",", Construction","")&amp;IF('Visit Log'!AX27="Yes",", Costumes","")&amp;IF('Visit Log'!AY27="Yes",", Craft Service","")&amp;IF('Visit Log'!AZ27="Yes",", Electrical","")&amp;IF('Visit Log'!BA27="Yes",", Greens","")&amp;IF('Visit Log'!BB27="Yes",", Grip","")&amp;IF('Visit Log'!BC27="Yes",", Locations","")&amp;IF('Visit Log'!BD27="Yes",", Medic","")&amp;IF('Visit Log'!BE27="Yes",", Paint","")&amp;IF('Visit Log'!BF27="Yes",", Plaster","")&amp;IF('Visit Log'!BG27="Yes",", Props","")&amp;IF('Visit Log'!BH27="Yes",", Set Dec","")&amp;IF('Visit Log'!BI27="Yes",", Set Teacher","")&amp;IF('Visit Log'!BJ27="Yes",", Sound","")&amp;IF('Visit Log'!BK27="Yes",", SPFX","")&amp;IF('Visit Log'!BL27="Yes",", Video",""),3,300)))</f>
        <v/>
      </c>
      <c r="F27" s="32">
        <f>IF('Visit Log'!C27="","",'Visit Log'!T27)</f>
        <v/>
      </c>
    </row>
    <row r="28">
      <c r="A28" s="28">
        <f>IF('Visit Log'!C28="","",'Visit Log'!A28)</f>
        <v/>
      </c>
      <c r="B28" s="28">
        <f>IF('Visit Log'!C28="","",'Visit Log'!C28)</f>
        <v/>
      </c>
      <c r="C28" s="28">
        <f>IF('Visit Log'!C28="","",'Visit Log'!D28)</f>
        <v/>
      </c>
      <c r="D28" s="29">
        <f>IF('Visit Log'!C28="","",'Visit Log'!B28)</f>
        <v/>
      </c>
      <c r="E28" s="28">
        <f>IF('Visit Log'!C28="","",IF((IF('Visit Log'!AV28="Yes",", Art","")&amp;IF('Visit Log'!AW28="Yes",", Construction","")&amp;IF('Visit Log'!AX28="Yes",", Costumes","")&amp;IF('Visit Log'!AY28="Yes",", Craft Service","")&amp;IF('Visit Log'!AZ28="Yes",", Electrical","")&amp;IF('Visit Log'!BA28="Yes",", Greens","")&amp;IF('Visit Log'!BB28="Yes",", Grip","")&amp;IF('Visit Log'!BC28="Yes",", Locations","")&amp;IF('Visit Log'!BD28="Yes",", Medic","")&amp;IF('Visit Log'!BE28="Yes",", Paint","")&amp;IF('Visit Log'!BF28="Yes",", Plaster","")&amp;IF('Visit Log'!BG28="Yes",", Props","")&amp;IF('Visit Log'!BH28="Yes",", Set Dec","")&amp;IF('Visit Log'!BI28="Yes",", Set Teacher","")&amp;IF('Visit Log'!BJ28="Yes",", Sound","")&amp;IF('Visit Log'!BK28="Yes",", SPFX","")&amp;IF('Visit Log'!BL28="Yes",", Video",""))="","",MID(IF('Visit Log'!AV28="Yes",", Art","")&amp;IF('Visit Log'!AW28="Yes",", Construction","")&amp;IF('Visit Log'!AX28="Yes",", Costumes","")&amp;IF('Visit Log'!AY28="Yes",", Craft Service","")&amp;IF('Visit Log'!AZ28="Yes",", Electrical","")&amp;IF('Visit Log'!BA28="Yes",", Greens","")&amp;IF('Visit Log'!BB28="Yes",", Grip","")&amp;IF('Visit Log'!BC28="Yes",", Locations","")&amp;IF('Visit Log'!BD28="Yes",", Medic","")&amp;IF('Visit Log'!BE28="Yes",", Paint","")&amp;IF('Visit Log'!BF28="Yes",", Plaster","")&amp;IF('Visit Log'!BG28="Yes",", Props","")&amp;IF('Visit Log'!BH28="Yes",", Set Dec","")&amp;IF('Visit Log'!BI28="Yes",", Set Teacher","")&amp;IF('Visit Log'!BJ28="Yes",", Sound","")&amp;IF('Visit Log'!BK28="Yes",", SPFX","")&amp;IF('Visit Log'!BL28="Yes",", Video",""),3,300)))</f>
        <v/>
      </c>
      <c r="F28" s="28">
        <f>IF('Visit Log'!C28="","",'Visit Log'!T28)</f>
        <v/>
      </c>
    </row>
    <row r="29">
      <c r="A29" s="32">
        <f>IF('Visit Log'!C29="","",'Visit Log'!A29)</f>
        <v/>
      </c>
      <c r="B29" s="32">
        <f>IF('Visit Log'!C29="","",'Visit Log'!C29)</f>
        <v/>
      </c>
      <c r="C29" s="32">
        <f>IF('Visit Log'!C29="","",'Visit Log'!D29)</f>
        <v/>
      </c>
      <c r="D29" s="33">
        <f>IF('Visit Log'!C29="","",'Visit Log'!B29)</f>
        <v/>
      </c>
      <c r="E29" s="32">
        <f>IF('Visit Log'!C29="","",IF((IF('Visit Log'!AV29="Yes",", Art","")&amp;IF('Visit Log'!AW29="Yes",", Construction","")&amp;IF('Visit Log'!AX29="Yes",", Costumes","")&amp;IF('Visit Log'!AY29="Yes",", Craft Service","")&amp;IF('Visit Log'!AZ29="Yes",", Electrical","")&amp;IF('Visit Log'!BA29="Yes",", Greens","")&amp;IF('Visit Log'!BB29="Yes",", Grip","")&amp;IF('Visit Log'!BC29="Yes",", Locations","")&amp;IF('Visit Log'!BD29="Yes",", Medic","")&amp;IF('Visit Log'!BE29="Yes",", Paint","")&amp;IF('Visit Log'!BF29="Yes",", Plaster","")&amp;IF('Visit Log'!BG29="Yes",", Props","")&amp;IF('Visit Log'!BH29="Yes",", Set Dec","")&amp;IF('Visit Log'!BI29="Yes",", Set Teacher","")&amp;IF('Visit Log'!BJ29="Yes",", Sound","")&amp;IF('Visit Log'!BK29="Yes",", SPFX","")&amp;IF('Visit Log'!BL29="Yes",", Video",""))="","",MID(IF('Visit Log'!AV29="Yes",", Art","")&amp;IF('Visit Log'!AW29="Yes",", Construction","")&amp;IF('Visit Log'!AX29="Yes",", Costumes","")&amp;IF('Visit Log'!AY29="Yes",", Craft Service","")&amp;IF('Visit Log'!AZ29="Yes",", Electrical","")&amp;IF('Visit Log'!BA29="Yes",", Greens","")&amp;IF('Visit Log'!BB29="Yes",", Grip","")&amp;IF('Visit Log'!BC29="Yes",", Locations","")&amp;IF('Visit Log'!BD29="Yes",", Medic","")&amp;IF('Visit Log'!BE29="Yes",", Paint","")&amp;IF('Visit Log'!BF29="Yes",", Plaster","")&amp;IF('Visit Log'!BG29="Yes",", Props","")&amp;IF('Visit Log'!BH29="Yes",", Set Dec","")&amp;IF('Visit Log'!BI29="Yes",", Set Teacher","")&amp;IF('Visit Log'!BJ29="Yes",", Sound","")&amp;IF('Visit Log'!BK29="Yes",", SPFX","")&amp;IF('Visit Log'!BL29="Yes",", Video",""),3,300)))</f>
        <v/>
      </c>
      <c r="F29" s="32">
        <f>IF('Visit Log'!C29="","",'Visit Log'!T29)</f>
        <v/>
      </c>
    </row>
    <row r="30">
      <c r="A30" s="28">
        <f>IF('Visit Log'!C30="","",'Visit Log'!A30)</f>
        <v/>
      </c>
      <c r="B30" s="28">
        <f>IF('Visit Log'!C30="","",'Visit Log'!C30)</f>
        <v/>
      </c>
      <c r="C30" s="28">
        <f>IF('Visit Log'!C30="","",'Visit Log'!D30)</f>
        <v/>
      </c>
      <c r="D30" s="29">
        <f>IF('Visit Log'!C30="","",'Visit Log'!B30)</f>
        <v/>
      </c>
      <c r="E30" s="28">
        <f>IF('Visit Log'!C30="","",IF((IF('Visit Log'!AV30="Yes",", Art","")&amp;IF('Visit Log'!AW30="Yes",", Construction","")&amp;IF('Visit Log'!AX30="Yes",", Costumes","")&amp;IF('Visit Log'!AY30="Yes",", Craft Service","")&amp;IF('Visit Log'!AZ30="Yes",", Electrical","")&amp;IF('Visit Log'!BA30="Yes",", Greens","")&amp;IF('Visit Log'!BB30="Yes",", Grip","")&amp;IF('Visit Log'!BC30="Yes",", Locations","")&amp;IF('Visit Log'!BD30="Yes",", Medic","")&amp;IF('Visit Log'!BE30="Yes",", Paint","")&amp;IF('Visit Log'!BF30="Yes",", Plaster","")&amp;IF('Visit Log'!BG30="Yes",", Props","")&amp;IF('Visit Log'!BH30="Yes",", Set Dec","")&amp;IF('Visit Log'!BI30="Yes",", Set Teacher","")&amp;IF('Visit Log'!BJ30="Yes",", Sound","")&amp;IF('Visit Log'!BK30="Yes",", SPFX","")&amp;IF('Visit Log'!BL30="Yes",", Video",""))="","",MID(IF('Visit Log'!AV30="Yes",", Art","")&amp;IF('Visit Log'!AW30="Yes",", Construction","")&amp;IF('Visit Log'!AX30="Yes",", Costumes","")&amp;IF('Visit Log'!AY30="Yes",", Craft Service","")&amp;IF('Visit Log'!AZ30="Yes",", Electrical","")&amp;IF('Visit Log'!BA30="Yes",", Greens","")&amp;IF('Visit Log'!BB30="Yes",", Grip","")&amp;IF('Visit Log'!BC30="Yes",", Locations","")&amp;IF('Visit Log'!BD30="Yes",", Medic","")&amp;IF('Visit Log'!BE30="Yes",", Paint","")&amp;IF('Visit Log'!BF30="Yes",", Plaster","")&amp;IF('Visit Log'!BG30="Yes",", Props","")&amp;IF('Visit Log'!BH30="Yes",", Set Dec","")&amp;IF('Visit Log'!BI30="Yes",", Set Teacher","")&amp;IF('Visit Log'!BJ30="Yes",", Sound","")&amp;IF('Visit Log'!BK30="Yes",", SPFX","")&amp;IF('Visit Log'!BL30="Yes",", Video",""),3,300)))</f>
        <v/>
      </c>
      <c r="F30" s="28">
        <f>IF('Visit Log'!C30="","",'Visit Log'!T30)</f>
        <v/>
      </c>
    </row>
    <row r="31">
      <c r="A31" s="32">
        <f>IF('Visit Log'!C31="","",'Visit Log'!A31)</f>
        <v/>
      </c>
      <c r="B31" s="32">
        <f>IF('Visit Log'!C31="","",'Visit Log'!C31)</f>
        <v/>
      </c>
      <c r="C31" s="32">
        <f>IF('Visit Log'!C31="","",'Visit Log'!D31)</f>
        <v/>
      </c>
      <c r="D31" s="33">
        <f>IF('Visit Log'!C31="","",'Visit Log'!B31)</f>
        <v/>
      </c>
      <c r="E31" s="32">
        <f>IF('Visit Log'!C31="","",IF((IF('Visit Log'!AV31="Yes",", Art","")&amp;IF('Visit Log'!AW31="Yes",", Construction","")&amp;IF('Visit Log'!AX31="Yes",", Costumes","")&amp;IF('Visit Log'!AY31="Yes",", Craft Service","")&amp;IF('Visit Log'!AZ31="Yes",", Electrical","")&amp;IF('Visit Log'!BA31="Yes",", Greens","")&amp;IF('Visit Log'!BB31="Yes",", Grip","")&amp;IF('Visit Log'!BC31="Yes",", Locations","")&amp;IF('Visit Log'!BD31="Yes",", Medic","")&amp;IF('Visit Log'!BE31="Yes",", Paint","")&amp;IF('Visit Log'!BF31="Yes",", Plaster","")&amp;IF('Visit Log'!BG31="Yes",", Props","")&amp;IF('Visit Log'!BH31="Yes",", Set Dec","")&amp;IF('Visit Log'!BI31="Yes",", Set Teacher","")&amp;IF('Visit Log'!BJ31="Yes",", Sound","")&amp;IF('Visit Log'!BK31="Yes",", SPFX","")&amp;IF('Visit Log'!BL31="Yes",", Video",""))="","",MID(IF('Visit Log'!AV31="Yes",", Art","")&amp;IF('Visit Log'!AW31="Yes",", Construction","")&amp;IF('Visit Log'!AX31="Yes",", Costumes","")&amp;IF('Visit Log'!AY31="Yes",", Craft Service","")&amp;IF('Visit Log'!AZ31="Yes",", Electrical","")&amp;IF('Visit Log'!BA31="Yes",", Greens","")&amp;IF('Visit Log'!BB31="Yes",", Grip","")&amp;IF('Visit Log'!BC31="Yes",", Locations","")&amp;IF('Visit Log'!BD31="Yes",", Medic","")&amp;IF('Visit Log'!BE31="Yes",", Paint","")&amp;IF('Visit Log'!BF31="Yes",", Plaster","")&amp;IF('Visit Log'!BG31="Yes",", Props","")&amp;IF('Visit Log'!BH31="Yes",", Set Dec","")&amp;IF('Visit Log'!BI31="Yes",", Set Teacher","")&amp;IF('Visit Log'!BJ31="Yes",", Sound","")&amp;IF('Visit Log'!BK31="Yes",", SPFX","")&amp;IF('Visit Log'!BL31="Yes",", Video",""),3,300)))</f>
        <v/>
      </c>
      <c r="F31" s="32">
        <f>IF('Visit Log'!C31="","",'Visit Log'!T31)</f>
        <v/>
      </c>
    </row>
    <row r="32">
      <c r="A32" s="28">
        <f>IF('Visit Log'!C32="","",'Visit Log'!A32)</f>
        <v/>
      </c>
      <c r="B32" s="28">
        <f>IF('Visit Log'!C32="","",'Visit Log'!C32)</f>
        <v/>
      </c>
      <c r="C32" s="28">
        <f>IF('Visit Log'!C32="","",'Visit Log'!D32)</f>
        <v/>
      </c>
      <c r="D32" s="29">
        <f>IF('Visit Log'!C32="","",'Visit Log'!B32)</f>
        <v/>
      </c>
      <c r="E32" s="28">
        <f>IF('Visit Log'!C32="","",IF((IF('Visit Log'!AV32="Yes",", Art","")&amp;IF('Visit Log'!AW32="Yes",", Construction","")&amp;IF('Visit Log'!AX32="Yes",", Costumes","")&amp;IF('Visit Log'!AY32="Yes",", Craft Service","")&amp;IF('Visit Log'!AZ32="Yes",", Electrical","")&amp;IF('Visit Log'!BA32="Yes",", Greens","")&amp;IF('Visit Log'!BB32="Yes",", Grip","")&amp;IF('Visit Log'!BC32="Yes",", Locations","")&amp;IF('Visit Log'!BD32="Yes",", Medic","")&amp;IF('Visit Log'!BE32="Yes",", Paint","")&amp;IF('Visit Log'!BF32="Yes",", Plaster","")&amp;IF('Visit Log'!BG32="Yes",", Props","")&amp;IF('Visit Log'!BH32="Yes",", Set Dec","")&amp;IF('Visit Log'!BI32="Yes",", Set Teacher","")&amp;IF('Visit Log'!BJ32="Yes",", Sound","")&amp;IF('Visit Log'!BK32="Yes",", SPFX","")&amp;IF('Visit Log'!BL32="Yes",", Video",""))="","",MID(IF('Visit Log'!AV32="Yes",", Art","")&amp;IF('Visit Log'!AW32="Yes",", Construction","")&amp;IF('Visit Log'!AX32="Yes",", Costumes","")&amp;IF('Visit Log'!AY32="Yes",", Craft Service","")&amp;IF('Visit Log'!AZ32="Yes",", Electrical","")&amp;IF('Visit Log'!BA32="Yes",", Greens","")&amp;IF('Visit Log'!BB32="Yes",", Grip","")&amp;IF('Visit Log'!BC32="Yes",", Locations","")&amp;IF('Visit Log'!BD32="Yes",", Medic","")&amp;IF('Visit Log'!BE32="Yes",", Paint","")&amp;IF('Visit Log'!BF32="Yes",", Plaster","")&amp;IF('Visit Log'!BG32="Yes",", Props","")&amp;IF('Visit Log'!BH32="Yes",", Set Dec","")&amp;IF('Visit Log'!BI32="Yes",", Set Teacher","")&amp;IF('Visit Log'!BJ32="Yes",", Sound","")&amp;IF('Visit Log'!BK32="Yes",", SPFX","")&amp;IF('Visit Log'!BL32="Yes",", Video",""),3,300)))</f>
        <v/>
      </c>
      <c r="F32" s="28">
        <f>IF('Visit Log'!C32="","",'Visit Log'!T32)</f>
        <v/>
      </c>
    </row>
    <row r="33">
      <c r="A33" s="32">
        <f>IF('Visit Log'!C33="","",'Visit Log'!A33)</f>
        <v/>
      </c>
      <c r="B33" s="32">
        <f>IF('Visit Log'!C33="","",'Visit Log'!C33)</f>
        <v/>
      </c>
      <c r="C33" s="32">
        <f>IF('Visit Log'!C33="","",'Visit Log'!D33)</f>
        <v/>
      </c>
      <c r="D33" s="33">
        <f>IF('Visit Log'!C33="","",'Visit Log'!B33)</f>
        <v/>
      </c>
      <c r="E33" s="32">
        <f>IF('Visit Log'!C33="","",IF((IF('Visit Log'!AV33="Yes",", Art","")&amp;IF('Visit Log'!AW33="Yes",", Construction","")&amp;IF('Visit Log'!AX33="Yes",", Costumes","")&amp;IF('Visit Log'!AY33="Yes",", Craft Service","")&amp;IF('Visit Log'!AZ33="Yes",", Electrical","")&amp;IF('Visit Log'!BA33="Yes",", Greens","")&amp;IF('Visit Log'!BB33="Yes",", Grip","")&amp;IF('Visit Log'!BC33="Yes",", Locations","")&amp;IF('Visit Log'!BD33="Yes",", Medic","")&amp;IF('Visit Log'!BE33="Yes",", Paint","")&amp;IF('Visit Log'!BF33="Yes",", Plaster","")&amp;IF('Visit Log'!BG33="Yes",", Props","")&amp;IF('Visit Log'!BH33="Yes",", Set Dec","")&amp;IF('Visit Log'!BI33="Yes",", Set Teacher","")&amp;IF('Visit Log'!BJ33="Yes",", Sound","")&amp;IF('Visit Log'!BK33="Yes",", SPFX","")&amp;IF('Visit Log'!BL33="Yes",", Video",""))="","",MID(IF('Visit Log'!AV33="Yes",", Art","")&amp;IF('Visit Log'!AW33="Yes",", Construction","")&amp;IF('Visit Log'!AX33="Yes",", Costumes","")&amp;IF('Visit Log'!AY33="Yes",", Craft Service","")&amp;IF('Visit Log'!AZ33="Yes",", Electrical","")&amp;IF('Visit Log'!BA33="Yes",", Greens","")&amp;IF('Visit Log'!BB33="Yes",", Grip","")&amp;IF('Visit Log'!BC33="Yes",", Locations","")&amp;IF('Visit Log'!BD33="Yes",", Medic","")&amp;IF('Visit Log'!BE33="Yes",", Paint","")&amp;IF('Visit Log'!BF33="Yes",", Plaster","")&amp;IF('Visit Log'!BG33="Yes",", Props","")&amp;IF('Visit Log'!BH33="Yes",", Set Dec","")&amp;IF('Visit Log'!BI33="Yes",", Set Teacher","")&amp;IF('Visit Log'!BJ33="Yes",", Sound","")&amp;IF('Visit Log'!BK33="Yes",", SPFX","")&amp;IF('Visit Log'!BL33="Yes",", Video",""),3,300)))</f>
        <v/>
      </c>
      <c r="F33" s="32">
        <f>IF('Visit Log'!C33="","",'Visit Log'!T33)</f>
        <v/>
      </c>
    </row>
    <row r="34">
      <c r="A34" s="28">
        <f>IF('Visit Log'!C34="","",'Visit Log'!A34)</f>
        <v/>
      </c>
      <c r="B34" s="28">
        <f>IF('Visit Log'!C34="","",'Visit Log'!C34)</f>
        <v/>
      </c>
      <c r="C34" s="28">
        <f>IF('Visit Log'!C34="","",'Visit Log'!D34)</f>
        <v/>
      </c>
      <c r="D34" s="29">
        <f>IF('Visit Log'!C34="","",'Visit Log'!B34)</f>
        <v/>
      </c>
      <c r="E34" s="28">
        <f>IF('Visit Log'!C34="","",IF((IF('Visit Log'!AV34="Yes",", Art","")&amp;IF('Visit Log'!AW34="Yes",", Construction","")&amp;IF('Visit Log'!AX34="Yes",", Costumes","")&amp;IF('Visit Log'!AY34="Yes",", Craft Service","")&amp;IF('Visit Log'!AZ34="Yes",", Electrical","")&amp;IF('Visit Log'!BA34="Yes",", Greens","")&amp;IF('Visit Log'!BB34="Yes",", Grip","")&amp;IF('Visit Log'!BC34="Yes",", Locations","")&amp;IF('Visit Log'!BD34="Yes",", Medic","")&amp;IF('Visit Log'!BE34="Yes",", Paint","")&amp;IF('Visit Log'!BF34="Yes",", Plaster","")&amp;IF('Visit Log'!BG34="Yes",", Props","")&amp;IF('Visit Log'!BH34="Yes",", Set Dec","")&amp;IF('Visit Log'!BI34="Yes",", Set Teacher","")&amp;IF('Visit Log'!BJ34="Yes",", Sound","")&amp;IF('Visit Log'!BK34="Yes",", SPFX","")&amp;IF('Visit Log'!BL34="Yes",", Video",""))="","",MID(IF('Visit Log'!AV34="Yes",", Art","")&amp;IF('Visit Log'!AW34="Yes",", Construction","")&amp;IF('Visit Log'!AX34="Yes",", Costumes","")&amp;IF('Visit Log'!AY34="Yes",", Craft Service","")&amp;IF('Visit Log'!AZ34="Yes",", Electrical","")&amp;IF('Visit Log'!BA34="Yes",", Greens","")&amp;IF('Visit Log'!BB34="Yes",", Grip","")&amp;IF('Visit Log'!BC34="Yes",", Locations","")&amp;IF('Visit Log'!BD34="Yes",", Medic","")&amp;IF('Visit Log'!BE34="Yes",", Paint","")&amp;IF('Visit Log'!BF34="Yes",", Plaster","")&amp;IF('Visit Log'!BG34="Yes",", Props","")&amp;IF('Visit Log'!BH34="Yes",", Set Dec","")&amp;IF('Visit Log'!BI34="Yes",", Set Teacher","")&amp;IF('Visit Log'!BJ34="Yes",", Sound","")&amp;IF('Visit Log'!BK34="Yes",", SPFX","")&amp;IF('Visit Log'!BL34="Yes",", Video",""),3,300)))</f>
        <v/>
      </c>
      <c r="F34" s="28">
        <f>IF('Visit Log'!C34="","",'Visit Log'!T34)</f>
        <v/>
      </c>
    </row>
    <row r="35">
      <c r="A35" s="32">
        <f>IF('Visit Log'!C35="","",'Visit Log'!A35)</f>
        <v/>
      </c>
      <c r="B35" s="32">
        <f>IF('Visit Log'!C35="","",'Visit Log'!C35)</f>
        <v/>
      </c>
      <c r="C35" s="32">
        <f>IF('Visit Log'!C35="","",'Visit Log'!D35)</f>
        <v/>
      </c>
      <c r="D35" s="33">
        <f>IF('Visit Log'!C35="","",'Visit Log'!B35)</f>
        <v/>
      </c>
      <c r="E35" s="32">
        <f>IF('Visit Log'!C35="","",IF((IF('Visit Log'!AV35="Yes",", Art","")&amp;IF('Visit Log'!AW35="Yes",", Construction","")&amp;IF('Visit Log'!AX35="Yes",", Costumes","")&amp;IF('Visit Log'!AY35="Yes",", Craft Service","")&amp;IF('Visit Log'!AZ35="Yes",", Electrical","")&amp;IF('Visit Log'!BA35="Yes",", Greens","")&amp;IF('Visit Log'!BB35="Yes",", Grip","")&amp;IF('Visit Log'!BC35="Yes",", Locations","")&amp;IF('Visit Log'!BD35="Yes",", Medic","")&amp;IF('Visit Log'!BE35="Yes",", Paint","")&amp;IF('Visit Log'!BF35="Yes",", Plaster","")&amp;IF('Visit Log'!BG35="Yes",", Props","")&amp;IF('Visit Log'!BH35="Yes",", Set Dec","")&amp;IF('Visit Log'!BI35="Yes",", Set Teacher","")&amp;IF('Visit Log'!BJ35="Yes",", Sound","")&amp;IF('Visit Log'!BK35="Yes",", SPFX","")&amp;IF('Visit Log'!BL35="Yes",", Video",""))="","",MID(IF('Visit Log'!AV35="Yes",", Art","")&amp;IF('Visit Log'!AW35="Yes",", Construction","")&amp;IF('Visit Log'!AX35="Yes",", Costumes","")&amp;IF('Visit Log'!AY35="Yes",", Craft Service","")&amp;IF('Visit Log'!AZ35="Yes",", Electrical","")&amp;IF('Visit Log'!BA35="Yes",", Greens","")&amp;IF('Visit Log'!BB35="Yes",", Grip","")&amp;IF('Visit Log'!BC35="Yes",", Locations","")&amp;IF('Visit Log'!BD35="Yes",", Medic","")&amp;IF('Visit Log'!BE35="Yes",", Paint","")&amp;IF('Visit Log'!BF35="Yes",", Plaster","")&amp;IF('Visit Log'!BG35="Yes",", Props","")&amp;IF('Visit Log'!BH35="Yes",", Set Dec","")&amp;IF('Visit Log'!BI35="Yes",", Set Teacher","")&amp;IF('Visit Log'!BJ35="Yes",", Sound","")&amp;IF('Visit Log'!BK35="Yes",", SPFX","")&amp;IF('Visit Log'!BL35="Yes",", Video",""),3,300)))</f>
        <v/>
      </c>
      <c r="F35" s="32">
        <f>IF('Visit Log'!C35="","",'Visit Log'!T35)</f>
        <v/>
      </c>
    </row>
    <row r="36">
      <c r="A36" s="28">
        <f>IF('Visit Log'!C36="","",'Visit Log'!A36)</f>
        <v/>
      </c>
      <c r="B36" s="28">
        <f>IF('Visit Log'!C36="","",'Visit Log'!C36)</f>
        <v/>
      </c>
      <c r="C36" s="28">
        <f>IF('Visit Log'!C36="","",'Visit Log'!D36)</f>
        <v/>
      </c>
      <c r="D36" s="29">
        <f>IF('Visit Log'!C36="","",'Visit Log'!B36)</f>
        <v/>
      </c>
      <c r="E36" s="28">
        <f>IF('Visit Log'!C36="","",IF((IF('Visit Log'!AV36="Yes",", Art","")&amp;IF('Visit Log'!AW36="Yes",", Construction","")&amp;IF('Visit Log'!AX36="Yes",", Costumes","")&amp;IF('Visit Log'!AY36="Yes",", Craft Service","")&amp;IF('Visit Log'!AZ36="Yes",", Electrical","")&amp;IF('Visit Log'!BA36="Yes",", Greens","")&amp;IF('Visit Log'!BB36="Yes",", Grip","")&amp;IF('Visit Log'!BC36="Yes",", Locations","")&amp;IF('Visit Log'!BD36="Yes",", Medic","")&amp;IF('Visit Log'!BE36="Yes",", Paint","")&amp;IF('Visit Log'!BF36="Yes",", Plaster","")&amp;IF('Visit Log'!BG36="Yes",", Props","")&amp;IF('Visit Log'!BH36="Yes",", Set Dec","")&amp;IF('Visit Log'!BI36="Yes",", Set Teacher","")&amp;IF('Visit Log'!BJ36="Yes",", Sound","")&amp;IF('Visit Log'!BK36="Yes",", SPFX","")&amp;IF('Visit Log'!BL36="Yes",", Video",""))="","",MID(IF('Visit Log'!AV36="Yes",", Art","")&amp;IF('Visit Log'!AW36="Yes",", Construction","")&amp;IF('Visit Log'!AX36="Yes",", Costumes","")&amp;IF('Visit Log'!AY36="Yes",", Craft Service","")&amp;IF('Visit Log'!AZ36="Yes",", Electrical","")&amp;IF('Visit Log'!BA36="Yes",", Greens","")&amp;IF('Visit Log'!BB36="Yes",", Grip","")&amp;IF('Visit Log'!BC36="Yes",", Locations","")&amp;IF('Visit Log'!BD36="Yes",", Medic","")&amp;IF('Visit Log'!BE36="Yes",", Paint","")&amp;IF('Visit Log'!BF36="Yes",", Plaster","")&amp;IF('Visit Log'!BG36="Yes",", Props","")&amp;IF('Visit Log'!BH36="Yes",", Set Dec","")&amp;IF('Visit Log'!BI36="Yes",", Set Teacher","")&amp;IF('Visit Log'!BJ36="Yes",", Sound","")&amp;IF('Visit Log'!BK36="Yes",", SPFX","")&amp;IF('Visit Log'!BL36="Yes",", Video",""),3,300)))</f>
        <v/>
      </c>
      <c r="F36" s="28">
        <f>IF('Visit Log'!C36="","",'Visit Log'!T36)</f>
        <v/>
      </c>
    </row>
    <row r="37">
      <c r="A37" s="32">
        <f>IF('Visit Log'!C37="","",'Visit Log'!A37)</f>
        <v/>
      </c>
      <c r="B37" s="32">
        <f>IF('Visit Log'!C37="","",'Visit Log'!C37)</f>
        <v/>
      </c>
      <c r="C37" s="32">
        <f>IF('Visit Log'!C37="","",'Visit Log'!D37)</f>
        <v/>
      </c>
      <c r="D37" s="33">
        <f>IF('Visit Log'!C37="","",'Visit Log'!B37)</f>
        <v/>
      </c>
      <c r="E37" s="32">
        <f>IF('Visit Log'!C37="","",IF((IF('Visit Log'!AV37="Yes",", Art","")&amp;IF('Visit Log'!AW37="Yes",", Construction","")&amp;IF('Visit Log'!AX37="Yes",", Costumes","")&amp;IF('Visit Log'!AY37="Yes",", Craft Service","")&amp;IF('Visit Log'!AZ37="Yes",", Electrical","")&amp;IF('Visit Log'!BA37="Yes",", Greens","")&amp;IF('Visit Log'!BB37="Yes",", Grip","")&amp;IF('Visit Log'!BC37="Yes",", Locations","")&amp;IF('Visit Log'!BD37="Yes",", Medic","")&amp;IF('Visit Log'!BE37="Yes",", Paint","")&amp;IF('Visit Log'!BF37="Yes",", Plaster","")&amp;IF('Visit Log'!BG37="Yes",", Props","")&amp;IF('Visit Log'!BH37="Yes",", Set Dec","")&amp;IF('Visit Log'!BI37="Yes",", Set Teacher","")&amp;IF('Visit Log'!BJ37="Yes",", Sound","")&amp;IF('Visit Log'!BK37="Yes",", SPFX","")&amp;IF('Visit Log'!BL37="Yes",", Video",""))="","",MID(IF('Visit Log'!AV37="Yes",", Art","")&amp;IF('Visit Log'!AW37="Yes",", Construction","")&amp;IF('Visit Log'!AX37="Yes",", Costumes","")&amp;IF('Visit Log'!AY37="Yes",", Craft Service","")&amp;IF('Visit Log'!AZ37="Yes",", Electrical","")&amp;IF('Visit Log'!BA37="Yes",", Greens","")&amp;IF('Visit Log'!BB37="Yes",", Grip","")&amp;IF('Visit Log'!BC37="Yes",", Locations","")&amp;IF('Visit Log'!BD37="Yes",", Medic","")&amp;IF('Visit Log'!BE37="Yes",", Paint","")&amp;IF('Visit Log'!BF37="Yes",", Plaster","")&amp;IF('Visit Log'!BG37="Yes",", Props","")&amp;IF('Visit Log'!BH37="Yes",", Set Dec","")&amp;IF('Visit Log'!BI37="Yes",", Set Teacher","")&amp;IF('Visit Log'!BJ37="Yes",", Sound","")&amp;IF('Visit Log'!BK37="Yes",", SPFX","")&amp;IF('Visit Log'!BL37="Yes",", Video",""),3,300)))</f>
        <v/>
      </c>
      <c r="F37" s="32">
        <f>IF('Visit Log'!C37="","",'Visit Log'!T37)</f>
        <v/>
      </c>
    </row>
    <row r="38">
      <c r="A38" s="28">
        <f>IF('Visit Log'!C38="","",'Visit Log'!A38)</f>
        <v/>
      </c>
      <c r="B38" s="28">
        <f>IF('Visit Log'!C38="","",'Visit Log'!C38)</f>
        <v/>
      </c>
      <c r="C38" s="28">
        <f>IF('Visit Log'!C38="","",'Visit Log'!D38)</f>
        <v/>
      </c>
      <c r="D38" s="29">
        <f>IF('Visit Log'!C38="","",'Visit Log'!B38)</f>
        <v/>
      </c>
      <c r="E38" s="28">
        <f>IF('Visit Log'!C38="","",IF((IF('Visit Log'!AV38="Yes",", Art","")&amp;IF('Visit Log'!AW38="Yes",", Construction","")&amp;IF('Visit Log'!AX38="Yes",", Costumes","")&amp;IF('Visit Log'!AY38="Yes",", Craft Service","")&amp;IF('Visit Log'!AZ38="Yes",", Electrical","")&amp;IF('Visit Log'!BA38="Yes",", Greens","")&amp;IF('Visit Log'!BB38="Yes",", Grip","")&amp;IF('Visit Log'!BC38="Yes",", Locations","")&amp;IF('Visit Log'!BD38="Yes",", Medic","")&amp;IF('Visit Log'!BE38="Yes",", Paint","")&amp;IF('Visit Log'!BF38="Yes",", Plaster","")&amp;IF('Visit Log'!BG38="Yes",", Props","")&amp;IF('Visit Log'!BH38="Yes",", Set Dec","")&amp;IF('Visit Log'!BI38="Yes",", Set Teacher","")&amp;IF('Visit Log'!BJ38="Yes",", Sound","")&amp;IF('Visit Log'!BK38="Yes",", SPFX","")&amp;IF('Visit Log'!BL38="Yes",", Video",""))="","",MID(IF('Visit Log'!AV38="Yes",", Art","")&amp;IF('Visit Log'!AW38="Yes",", Construction","")&amp;IF('Visit Log'!AX38="Yes",", Costumes","")&amp;IF('Visit Log'!AY38="Yes",", Craft Service","")&amp;IF('Visit Log'!AZ38="Yes",", Electrical","")&amp;IF('Visit Log'!BA38="Yes",", Greens","")&amp;IF('Visit Log'!BB38="Yes",", Grip","")&amp;IF('Visit Log'!BC38="Yes",", Locations","")&amp;IF('Visit Log'!BD38="Yes",", Medic","")&amp;IF('Visit Log'!BE38="Yes",", Paint","")&amp;IF('Visit Log'!BF38="Yes",", Plaster","")&amp;IF('Visit Log'!BG38="Yes",", Props","")&amp;IF('Visit Log'!BH38="Yes",", Set Dec","")&amp;IF('Visit Log'!BI38="Yes",", Set Teacher","")&amp;IF('Visit Log'!BJ38="Yes",", Sound","")&amp;IF('Visit Log'!BK38="Yes",", SPFX","")&amp;IF('Visit Log'!BL38="Yes",", Video",""),3,300)))</f>
        <v/>
      </c>
      <c r="F38" s="28">
        <f>IF('Visit Log'!C38="","",'Visit Log'!T38)</f>
        <v/>
      </c>
    </row>
    <row r="39">
      <c r="A39" s="32">
        <f>IF('Visit Log'!C39="","",'Visit Log'!A39)</f>
        <v/>
      </c>
      <c r="B39" s="32">
        <f>IF('Visit Log'!C39="","",'Visit Log'!C39)</f>
        <v/>
      </c>
      <c r="C39" s="32">
        <f>IF('Visit Log'!C39="","",'Visit Log'!D39)</f>
        <v/>
      </c>
      <c r="D39" s="33">
        <f>IF('Visit Log'!C39="","",'Visit Log'!B39)</f>
        <v/>
      </c>
      <c r="E39" s="32">
        <f>IF('Visit Log'!C39="","",IF((IF('Visit Log'!AV39="Yes",", Art","")&amp;IF('Visit Log'!AW39="Yes",", Construction","")&amp;IF('Visit Log'!AX39="Yes",", Costumes","")&amp;IF('Visit Log'!AY39="Yes",", Craft Service","")&amp;IF('Visit Log'!AZ39="Yes",", Electrical","")&amp;IF('Visit Log'!BA39="Yes",", Greens","")&amp;IF('Visit Log'!BB39="Yes",", Grip","")&amp;IF('Visit Log'!BC39="Yes",", Locations","")&amp;IF('Visit Log'!BD39="Yes",", Medic","")&amp;IF('Visit Log'!BE39="Yes",", Paint","")&amp;IF('Visit Log'!BF39="Yes",", Plaster","")&amp;IF('Visit Log'!BG39="Yes",", Props","")&amp;IF('Visit Log'!BH39="Yes",", Set Dec","")&amp;IF('Visit Log'!BI39="Yes",", Set Teacher","")&amp;IF('Visit Log'!BJ39="Yes",", Sound","")&amp;IF('Visit Log'!BK39="Yes",", SPFX","")&amp;IF('Visit Log'!BL39="Yes",", Video",""))="","",MID(IF('Visit Log'!AV39="Yes",", Art","")&amp;IF('Visit Log'!AW39="Yes",", Construction","")&amp;IF('Visit Log'!AX39="Yes",", Costumes","")&amp;IF('Visit Log'!AY39="Yes",", Craft Service","")&amp;IF('Visit Log'!AZ39="Yes",", Electrical","")&amp;IF('Visit Log'!BA39="Yes",", Greens","")&amp;IF('Visit Log'!BB39="Yes",", Grip","")&amp;IF('Visit Log'!BC39="Yes",", Locations","")&amp;IF('Visit Log'!BD39="Yes",", Medic","")&amp;IF('Visit Log'!BE39="Yes",", Paint","")&amp;IF('Visit Log'!BF39="Yes",", Plaster","")&amp;IF('Visit Log'!BG39="Yes",", Props","")&amp;IF('Visit Log'!BH39="Yes",", Set Dec","")&amp;IF('Visit Log'!BI39="Yes",", Set Teacher","")&amp;IF('Visit Log'!BJ39="Yes",", Sound","")&amp;IF('Visit Log'!BK39="Yes",", SPFX","")&amp;IF('Visit Log'!BL39="Yes",", Video",""),3,300)))</f>
        <v/>
      </c>
      <c r="F39" s="32">
        <f>IF('Visit Log'!C39="","",'Visit Log'!T39)</f>
        <v/>
      </c>
    </row>
    <row r="40">
      <c r="A40" s="28">
        <f>IF('Visit Log'!C40="","",'Visit Log'!A40)</f>
        <v/>
      </c>
      <c r="B40" s="28">
        <f>IF('Visit Log'!C40="","",'Visit Log'!C40)</f>
        <v/>
      </c>
      <c r="C40" s="28">
        <f>IF('Visit Log'!C40="","",'Visit Log'!D40)</f>
        <v/>
      </c>
      <c r="D40" s="29">
        <f>IF('Visit Log'!C40="","",'Visit Log'!B40)</f>
        <v/>
      </c>
      <c r="E40" s="28">
        <f>IF('Visit Log'!C40="","",IF((IF('Visit Log'!AV40="Yes",", Art","")&amp;IF('Visit Log'!AW40="Yes",", Construction","")&amp;IF('Visit Log'!AX40="Yes",", Costumes","")&amp;IF('Visit Log'!AY40="Yes",", Craft Service","")&amp;IF('Visit Log'!AZ40="Yes",", Electrical","")&amp;IF('Visit Log'!BA40="Yes",", Greens","")&amp;IF('Visit Log'!BB40="Yes",", Grip","")&amp;IF('Visit Log'!BC40="Yes",", Locations","")&amp;IF('Visit Log'!BD40="Yes",", Medic","")&amp;IF('Visit Log'!BE40="Yes",", Paint","")&amp;IF('Visit Log'!BF40="Yes",", Plaster","")&amp;IF('Visit Log'!BG40="Yes",", Props","")&amp;IF('Visit Log'!BH40="Yes",", Set Dec","")&amp;IF('Visit Log'!BI40="Yes",", Set Teacher","")&amp;IF('Visit Log'!BJ40="Yes",", Sound","")&amp;IF('Visit Log'!BK40="Yes",", SPFX","")&amp;IF('Visit Log'!BL40="Yes",", Video",""))="","",MID(IF('Visit Log'!AV40="Yes",", Art","")&amp;IF('Visit Log'!AW40="Yes",", Construction","")&amp;IF('Visit Log'!AX40="Yes",", Costumes","")&amp;IF('Visit Log'!AY40="Yes",", Craft Service","")&amp;IF('Visit Log'!AZ40="Yes",", Electrical","")&amp;IF('Visit Log'!BA40="Yes",", Greens","")&amp;IF('Visit Log'!BB40="Yes",", Grip","")&amp;IF('Visit Log'!BC40="Yes",", Locations","")&amp;IF('Visit Log'!BD40="Yes",", Medic","")&amp;IF('Visit Log'!BE40="Yes",", Paint","")&amp;IF('Visit Log'!BF40="Yes",", Plaster","")&amp;IF('Visit Log'!BG40="Yes",", Props","")&amp;IF('Visit Log'!BH40="Yes",", Set Dec","")&amp;IF('Visit Log'!BI40="Yes",", Set Teacher","")&amp;IF('Visit Log'!BJ40="Yes",", Sound","")&amp;IF('Visit Log'!BK40="Yes",", SPFX","")&amp;IF('Visit Log'!BL40="Yes",", Video",""),3,300)))</f>
        <v/>
      </c>
      <c r="F40" s="28">
        <f>IF('Visit Log'!C40="","",'Visit Log'!T40)</f>
        <v/>
      </c>
    </row>
    <row r="41">
      <c r="A41" s="32">
        <f>IF('Visit Log'!C41="","",'Visit Log'!A41)</f>
        <v/>
      </c>
      <c r="B41" s="32">
        <f>IF('Visit Log'!C41="","",'Visit Log'!C41)</f>
        <v/>
      </c>
      <c r="C41" s="32">
        <f>IF('Visit Log'!C41="","",'Visit Log'!D41)</f>
        <v/>
      </c>
      <c r="D41" s="33">
        <f>IF('Visit Log'!C41="","",'Visit Log'!B41)</f>
        <v/>
      </c>
      <c r="E41" s="32">
        <f>IF('Visit Log'!C41="","",IF((IF('Visit Log'!AV41="Yes",", Art","")&amp;IF('Visit Log'!AW41="Yes",", Construction","")&amp;IF('Visit Log'!AX41="Yes",", Costumes","")&amp;IF('Visit Log'!AY41="Yes",", Craft Service","")&amp;IF('Visit Log'!AZ41="Yes",", Electrical","")&amp;IF('Visit Log'!BA41="Yes",", Greens","")&amp;IF('Visit Log'!BB41="Yes",", Grip","")&amp;IF('Visit Log'!BC41="Yes",", Locations","")&amp;IF('Visit Log'!BD41="Yes",", Medic","")&amp;IF('Visit Log'!BE41="Yes",", Paint","")&amp;IF('Visit Log'!BF41="Yes",", Plaster","")&amp;IF('Visit Log'!BG41="Yes",", Props","")&amp;IF('Visit Log'!BH41="Yes",", Set Dec","")&amp;IF('Visit Log'!BI41="Yes",", Set Teacher","")&amp;IF('Visit Log'!BJ41="Yes",", Sound","")&amp;IF('Visit Log'!BK41="Yes",", SPFX","")&amp;IF('Visit Log'!BL41="Yes",", Video",""))="","",MID(IF('Visit Log'!AV41="Yes",", Art","")&amp;IF('Visit Log'!AW41="Yes",", Construction","")&amp;IF('Visit Log'!AX41="Yes",", Costumes","")&amp;IF('Visit Log'!AY41="Yes",", Craft Service","")&amp;IF('Visit Log'!AZ41="Yes",", Electrical","")&amp;IF('Visit Log'!BA41="Yes",", Greens","")&amp;IF('Visit Log'!BB41="Yes",", Grip","")&amp;IF('Visit Log'!BC41="Yes",", Locations","")&amp;IF('Visit Log'!BD41="Yes",", Medic","")&amp;IF('Visit Log'!BE41="Yes",", Paint","")&amp;IF('Visit Log'!BF41="Yes",", Plaster","")&amp;IF('Visit Log'!BG41="Yes",", Props","")&amp;IF('Visit Log'!BH41="Yes",", Set Dec","")&amp;IF('Visit Log'!BI41="Yes",", Set Teacher","")&amp;IF('Visit Log'!BJ41="Yes",", Sound","")&amp;IF('Visit Log'!BK41="Yes",", SPFX","")&amp;IF('Visit Log'!BL41="Yes",", Video",""),3,300)))</f>
        <v/>
      </c>
      <c r="F41" s="32">
        <f>IF('Visit Log'!C41="","",'Visit Log'!T41)</f>
        <v/>
      </c>
    </row>
    <row r="42">
      <c r="A42" s="28">
        <f>IF('Visit Log'!C42="","",'Visit Log'!A42)</f>
        <v/>
      </c>
      <c r="B42" s="28">
        <f>IF('Visit Log'!C42="","",'Visit Log'!C42)</f>
        <v/>
      </c>
      <c r="C42" s="28">
        <f>IF('Visit Log'!C42="","",'Visit Log'!D42)</f>
        <v/>
      </c>
      <c r="D42" s="29">
        <f>IF('Visit Log'!C42="","",'Visit Log'!B42)</f>
        <v/>
      </c>
      <c r="E42" s="28">
        <f>IF('Visit Log'!C42="","",IF((IF('Visit Log'!AV42="Yes",", Art","")&amp;IF('Visit Log'!AW42="Yes",", Construction","")&amp;IF('Visit Log'!AX42="Yes",", Costumes","")&amp;IF('Visit Log'!AY42="Yes",", Craft Service","")&amp;IF('Visit Log'!AZ42="Yes",", Electrical","")&amp;IF('Visit Log'!BA42="Yes",", Greens","")&amp;IF('Visit Log'!BB42="Yes",", Grip","")&amp;IF('Visit Log'!BC42="Yes",", Locations","")&amp;IF('Visit Log'!BD42="Yes",", Medic","")&amp;IF('Visit Log'!BE42="Yes",", Paint","")&amp;IF('Visit Log'!BF42="Yes",", Plaster","")&amp;IF('Visit Log'!BG42="Yes",", Props","")&amp;IF('Visit Log'!BH42="Yes",", Set Dec","")&amp;IF('Visit Log'!BI42="Yes",", Set Teacher","")&amp;IF('Visit Log'!BJ42="Yes",", Sound","")&amp;IF('Visit Log'!BK42="Yes",", SPFX","")&amp;IF('Visit Log'!BL42="Yes",", Video",""))="","",MID(IF('Visit Log'!AV42="Yes",", Art","")&amp;IF('Visit Log'!AW42="Yes",", Construction","")&amp;IF('Visit Log'!AX42="Yes",", Costumes","")&amp;IF('Visit Log'!AY42="Yes",", Craft Service","")&amp;IF('Visit Log'!AZ42="Yes",", Electrical","")&amp;IF('Visit Log'!BA42="Yes",", Greens","")&amp;IF('Visit Log'!BB42="Yes",", Grip","")&amp;IF('Visit Log'!BC42="Yes",", Locations","")&amp;IF('Visit Log'!BD42="Yes",", Medic","")&amp;IF('Visit Log'!BE42="Yes",", Paint","")&amp;IF('Visit Log'!BF42="Yes",", Plaster","")&amp;IF('Visit Log'!BG42="Yes",", Props","")&amp;IF('Visit Log'!BH42="Yes",", Set Dec","")&amp;IF('Visit Log'!BI42="Yes",", Set Teacher","")&amp;IF('Visit Log'!BJ42="Yes",", Sound","")&amp;IF('Visit Log'!BK42="Yes",", SPFX","")&amp;IF('Visit Log'!BL42="Yes",", Video",""),3,300)))</f>
        <v/>
      </c>
      <c r="F42" s="28">
        <f>IF('Visit Log'!C42="","",'Visit Log'!T42)</f>
        <v/>
      </c>
    </row>
    <row r="43">
      <c r="A43" s="32">
        <f>IF('Visit Log'!C43="","",'Visit Log'!A43)</f>
        <v/>
      </c>
      <c r="B43" s="32">
        <f>IF('Visit Log'!C43="","",'Visit Log'!C43)</f>
        <v/>
      </c>
      <c r="C43" s="32">
        <f>IF('Visit Log'!C43="","",'Visit Log'!D43)</f>
        <v/>
      </c>
      <c r="D43" s="33">
        <f>IF('Visit Log'!C43="","",'Visit Log'!B43)</f>
        <v/>
      </c>
      <c r="E43" s="32">
        <f>IF('Visit Log'!C43="","",IF((IF('Visit Log'!AV43="Yes",", Art","")&amp;IF('Visit Log'!AW43="Yes",", Construction","")&amp;IF('Visit Log'!AX43="Yes",", Costumes","")&amp;IF('Visit Log'!AY43="Yes",", Craft Service","")&amp;IF('Visit Log'!AZ43="Yes",", Electrical","")&amp;IF('Visit Log'!BA43="Yes",", Greens","")&amp;IF('Visit Log'!BB43="Yes",", Grip","")&amp;IF('Visit Log'!BC43="Yes",", Locations","")&amp;IF('Visit Log'!BD43="Yes",", Medic","")&amp;IF('Visit Log'!BE43="Yes",", Paint","")&amp;IF('Visit Log'!BF43="Yes",", Plaster","")&amp;IF('Visit Log'!BG43="Yes",", Props","")&amp;IF('Visit Log'!BH43="Yes",", Set Dec","")&amp;IF('Visit Log'!BI43="Yes",", Set Teacher","")&amp;IF('Visit Log'!BJ43="Yes",", Sound","")&amp;IF('Visit Log'!BK43="Yes",", SPFX","")&amp;IF('Visit Log'!BL43="Yes",", Video",""))="","",MID(IF('Visit Log'!AV43="Yes",", Art","")&amp;IF('Visit Log'!AW43="Yes",", Construction","")&amp;IF('Visit Log'!AX43="Yes",", Costumes","")&amp;IF('Visit Log'!AY43="Yes",", Craft Service","")&amp;IF('Visit Log'!AZ43="Yes",", Electrical","")&amp;IF('Visit Log'!BA43="Yes",", Greens","")&amp;IF('Visit Log'!BB43="Yes",", Grip","")&amp;IF('Visit Log'!BC43="Yes",", Locations","")&amp;IF('Visit Log'!BD43="Yes",", Medic","")&amp;IF('Visit Log'!BE43="Yes",", Paint","")&amp;IF('Visit Log'!BF43="Yes",", Plaster","")&amp;IF('Visit Log'!BG43="Yes",", Props","")&amp;IF('Visit Log'!BH43="Yes",", Set Dec","")&amp;IF('Visit Log'!BI43="Yes",", Set Teacher","")&amp;IF('Visit Log'!BJ43="Yes",", Sound","")&amp;IF('Visit Log'!BK43="Yes",", SPFX","")&amp;IF('Visit Log'!BL43="Yes",", Video",""),3,300)))</f>
        <v/>
      </c>
      <c r="F43" s="32">
        <f>IF('Visit Log'!C43="","",'Visit Log'!T43)</f>
        <v/>
      </c>
    </row>
    <row r="44">
      <c r="A44" s="28">
        <f>IF('Visit Log'!C44="","",'Visit Log'!A44)</f>
        <v/>
      </c>
      <c r="B44" s="28">
        <f>IF('Visit Log'!C44="","",'Visit Log'!C44)</f>
        <v/>
      </c>
      <c r="C44" s="28">
        <f>IF('Visit Log'!C44="","",'Visit Log'!D44)</f>
        <v/>
      </c>
      <c r="D44" s="29">
        <f>IF('Visit Log'!C44="","",'Visit Log'!B44)</f>
        <v/>
      </c>
      <c r="E44" s="28">
        <f>IF('Visit Log'!C44="","",IF((IF('Visit Log'!AV44="Yes",", Art","")&amp;IF('Visit Log'!AW44="Yes",", Construction","")&amp;IF('Visit Log'!AX44="Yes",", Costumes","")&amp;IF('Visit Log'!AY44="Yes",", Craft Service","")&amp;IF('Visit Log'!AZ44="Yes",", Electrical","")&amp;IF('Visit Log'!BA44="Yes",", Greens","")&amp;IF('Visit Log'!BB44="Yes",", Grip","")&amp;IF('Visit Log'!BC44="Yes",", Locations","")&amp;IF('Visit Log'!BD44="Yes",", Medic","")&amp;IF('Visit Log'!BE44="Yes",", Paint","")&amp;IF('Visit Log'!BF44="Yes",", Plaster","")&amp;IF('Visit Log'!BG44="Yes",", Props","")&amp;IF('Visit Log'!BH44="Yes",", Set Dec","")&amp;IF('Visit Log'!BI44="Yes",", Set Teacher","")&amp;IF('Visit Log'!BJ44="Yes",", Sound","")&amp;IF('Visit Log'!BK44="Yes",", SPFX","")&amp;IF('Visit Log'!BL44="Yes",", Video",""))="","",MID(IF('Visit Log'!AV44="Yes",", Art","")&amp;IF('Visit Log'!AW44="Yes",", Construction","")&amp;IF('Visit Log'!AX44="Yes",", Costumes","")&amp;IF('Visit Log'!AY44="Yes",", Craft Service","")&amp;IF('Visit Log'!AZ44="Yes",", Electrical","")&amp;IF('Visit Log'!BA44="Yes",", Greens","")&amp;IF('Visit Log'!BB44="Yes",", Grip","")&amp;IF('Visit Log'!BC44="Yes",", Locations","")&amp;IF('Visit Log'!BD44="Yes",", Medic","")&amp;IF('Visit Log'!BE44="Yes",", Paint","")&amp;IF('Visit Log'!BF44="Yes",", Plaster","")&amp;IF('Visit Log'!BG44="Yes",", Props","")&amp;IF('Visit Log'!BH44="Yes",", Set Dec","")&amp;IF('Visit Log'!BI44="Yes",", Set Teacher","")&amp;IF('Visit Log'!BJ44="Yes",", Sound","")&amp;IF('Visit Log'!BK44="Yes",", SPFX","")&amp;IF('Visit Log'!BL44="Yes",", Video",""),3,300)))</f>
        <v/>
      </c>
      <c r="F44" s="28">
        <f>IF('Visit Log'!C44="","",'Visit Log'!T44)</f>
        <v/>
      </c>
    </row>
    <row r="45">
      <c r="A45" s="32">
        <f>IF('Visit Log'!C45="","",'Visit Log'!A45)</f>
        <v/>
      </c>
      <c r="B45" s="32">
        <f>IF('Visit Log'!C45="","",'Visit Log'!C45)</f>
        <v/>
      </c>
      <c r="C45" s="32">
        <f>IF('Visit Log'!C45="","",'Visit Log'!D45)</f>
        <v/>
      </c>
      <c r="D45" s="33">
        <f>IF('Visit Log'!C45="","",'Visit Log'!B45)</f>
        <v/>
      </c>
      <c r="E45" s="32">
        <f>IF('Visit Log'!C45="","",IF((IF('Visit Log'!AV45="Yes",", Art","")&amp;IF('Visit Log'!AW45="Yes",", Construction","")&amp;IF('Visit Log'!AX45="Yes",", Costumes","")&amp;IF('Visit Log'!AY45="Yes",", Craft Service","")&amp;IF('Visit Log'!AZ45="Yes",", Electrical","")&amp;IF('Visit Log'!BA45="Yes",", Greens","")&amp;IF('Visit Log'!BB45="Yes",", Grip","")&amp;IF('Visit Log'!BC45="Yes",", Locations","")&amp;IF('Visit Log'!BD45="Yes",", Medic","")&amp;IF('Visit Log'!BE45="Yes",", Paint","")&amp;IF('Visit Log'!BF45="Yes",", Plaster","")&amp;IF('Visit Log'!BG45="Yes",", Props","")&amp;IF('Visit Log'!BH45="Yes",", Set Dec","")&amp;IF('Visit Log'!BI45="Yes",", Set Teacher","")&amp;IF('Visit Log'!BJ45="Yes",", Sound","")&amp;IF('Visit Log'!BK45="Yes",", SPFX","")&amp;IF('Visit Log'!BL45="Yes",", Video",""))="","",MID(IF('Visit Log'!AV45="Yes",", Art","")&amp;IF('Visit Log'!AW45="Yes",", Construction","")&amp;IF('Visit Log'!AX45="Yes",", Costumes","")&amp;IF('Visit Log'!AY45="Yes",", Craft Service","")&amp;IF('Visit Log'!AZ45="Yes",", Electrical","")&amp;IF('Visit Log'!BA45="Yes",", Greens","")&amp;IF('Visit Log'!BB45="Yes",", Grip","")&amp;IF('Visit Log'!BC45="Yes",", Locations","")&amp;IF('Visit Log'!BD45="Yes",", Medic","")&amp;IF('Visit Log'!BE45="Yes",", Paint","")&amp;IF('Visit Log'!BF45="Yes",", Plaster","")&amp;IF('Visit Log'!BG45="Yes",", Props","")&amp;IF('Visit Log'!BH45="Yes",", Set Dec","")&amp;IF('Visit Log'!BI45="Yes",", Set Teacher","")&amp;IF('Visit Log'!BJ45="Yes",", Sound","")&amp;IF('Visit Log'!BK45="Yes",", SPFX","")&amp;IF('Visit Log'!BL45="Yes",", Video",""),3,300)))</f>
        <v/>
      </c>
      <c r="F45" s="32">
        <f>IF('Visit Log'!C45="","",'Visit Log'!T45)</f>
        <v/>
      </c>
    </row>
    <row r="46">
      <c r="A46" s="28">
        <f>IF('Visit Log'!C46="","",'Visit Log'!A46)</f>
        <v/>
      </c>
      <c r="B46" s="28">
        <f>IF('Visit Log'!C46="","",'Visit Log'!C46)</f>
        <v/>
      </c>
      <c r="C46" s="28">
        <f>IF('Visit Log'!C46="","",'Visit Log'!D46)</f>
        <v/>
      </c>
      <c r="D46" s="29">
        <f>IF('Visit Log'!C46="","",'Visit Log'!B46)</f>
        <v/>
      </c>
      <c r="E46" s="28">
        <f>IF('Visit Log'!C46="","",IF((IF('Visit Log'!AV46="Yes",", Art","")&amp;IF('Visit Log'!AW46="Yes",", Construction","")&amp;IF('Visit Log'!AX46="Yes",", Costumes","")&amp;IF('Visit Log'!AY46="Yes",", Craft Service","")&amp;IF('Visit Log'!AZ46="Yes",", Electrical","")&amp;IF('Visit Log'!BA46="Yes",", Greens","")&amp;IF('Visit Log'!BB46="Yes",", Grip","")&amp;IF('Visit Log'!BC46="Yes",", Locations","")&amp;IF('Visit Log'!BD46="Yes",", Medic","")&amp;IF('Visit Log'!BE46="Yes",", Paint","")&amp;IF('Visit Log'!BF46="Yes",", Plaster","")&amp;IF('Visit Log'!BG46="Yes",", Props","")&amp;IF('Visit Log'!BH46="Yes",", Set Dec","")&amp;IF('Visit Log'!BI46="Yes",", Set Teacher","")&amp;IF('Visit Log'!BJ46="Yes",", Sound","")&amp;IF('Visit Log'!BK46="Yes",", SPFX","")&amp;IF('Visit Log'!BL46="Yes",", Video",""))="","",MID(IF('Visit Log'!AV46="Yes",", Art","")&amp;IF('Visit Log'!AW46="Yes",", Construction","")&amp;IF('Visit Log'!AX46="Yes",", Costumes","")&amp;IF('Visit Log'!AY46="Yes",", Craft Service","")&amp;IF('Visit Log'!AZ46="Yes",", Electrical","")&amp;IF('Visit Log'!BA46="Yes",", Greens","")&amp;IF('Visit Log'!BB46="Yes",", Grip","")&amp;IF('Visit Log'!BC46="Yes",", Locations","")&amp;IF('Visit Log'!BD46="Yes",", Medic","")&amp;IF('Visit Log'!BE46="Yes",", Paint","")&amp;IF('Visit Log'!BF46="Yes",", Plaster","")&amp;IF('Visit Log'!BG46="Yes",", Props","")&amp;IF('Visit Log'!BH46="Yes",", Set Dec","")&amp;IF('Visit Log'!BI46="Yes",", Set Teacher","")&amp;IF('Visit Log'!BJ46="Yes",", Sound","")&amp;IF('Visit Log'!BK46="Yes",", SPFX","")&amp;IF('Visit Log'!BL46="Yes",", Video",""),3,300)))</f>
        <v/>
      </c>
      <c r="F46" s="28">
        <f>IF('Visit Log'!C46="","",'Visit Log'!T46)</f>
        <v/>
      </c>
    </row>
    <row r="47">
      <c r="A47" s="32">
        <f>IF('Visit Log'!C47="","",'Visit Log'!A47)</f>
        <v/>
      </c>
      <c r="B47" s="32">
        <f>IF('Visit Log'!C47="","",'Visit Log'!C47)</f>
        <v/>
      </c>
      <c r="C47" s="32">
        <f>IF('Visit Log'!C47="","",'Visit Log'!D47)</f>
        <v/>
      </c>
      <c r="D47" s="33">
        <f>IF('Visit Log'!C47="","",'Visit Log'!B47)</f>
        <v/>
      </c>
      <c r="E47" s="32">
        <f>IF('Visit Log'!C47="","",IF((IF('Visit Log'!AV47="Yes",", Art","")&amp;IF('Visit Log'!AW47="Yes",", Construction","")&amp;IF('Visit Log'!AX47="Yes",", Costumes","")&amp;IF('Visit Log'!AY47="Yes",", Craft Service","")&amp;IF('Visit Log'!AZ47="Yes",", Electrical","")&amp;IF('Visit Log'!BA47="Yes",", Greens","")&amp;IF('Visit Log'!BB47="Yes",", Grip","")&amp;IF('Visit Log'!BC47="Yes",", Locations","")&amp;IF('Visit Log'!BD47="Yes",", Medic","")&amp;IF('Visit Log'!BE47="Yes",", Paint","")&amp;IF('Visit Log'!BF47="Yes",", Plaster","")&amp;IF('Visit Log'!BG47="Yes",", Props","")&amp;IF('Visit Log'!BH47="Yes",", Set Dec","")&amp;IF('Visit Log'!BI47="Yes",", Set Teacher","")&amp;IF('Visit Log'!BJ47="Yes",", Sound","")&amp;IF('Visit Log'!BK47="Yes",", SPFX","")&amp;IF('Visit Log'!BL47="Yes",", Video",""))="","",MID(IF('Visit Log'!AV47="Yes",", Art","")&amp;IF('Visit Log'!AW47="Yes",", Construction","")&amp;IF('Visit Log'!AX47="Yes",", Costumes","")&amp;IF('Visit Log'!AY47="Yes",", Craft Service","")&amp;IF('Visit Log'!AZ47="Yes",", Electrical","")&amp;IF('Visit Log'!BA47="Yes",", Greens","")&amp;IF('Visit Log'!BB47="Yes",", Grip","")&amp;IF('Visit Log'!BC47="Yes",", Locations","")&amp;IF('Visit Log'!BD47="Yes",", Medic","")&amp;IF('Visit Log'!BE47="Yes",", Paint","")&amp;IF('Visit Log'!BF47="Yes",", Plaster","")&amp;IF('Visit Log'!BG47="Yes",", Props","")&amp;IF('Visit Log'!BH47="Yes",", Set Dec","")&amp;IF('Visit Log'!BI47="Yes",", Set Teacher","")&amp;IF('Visit Log'!BJ47="Yes",", Sound","")&amp;IF('Visit Log'!BK47="Yes",", SPFX","")&amp;IF('Visit Log'!BL47="Yes",", Video",""),3,300)))</f>
        <v/>
      </c>
      <c r="F47" s="32">
        <f>IF('Visit Log'!C47="","",'Visit Log'!T47)</f>
        <v/>
      </c>
    </row>
    <row r="48">
      <c r="A48" s="28">
        <f>IF('Visit Log'!C48="","",'Visit Log'!A48)</f>
        <v/>
      </c>
      <c r="B48" s="28">
        <f>IF('Visit Log'!C48="","",'Visit Log'!C48)</f>
        <v/>
      </c>
      <c r="C48" s="28">
        <f>IF('Visit Log'!C48="","",'Visit Log'!D48)</f>
        <v/>
      </c>
      <c r="D48" s="29">
        <f>IF('Visit Log'!C48="","",'Visit Log'!B48)</f>
        <v/>
      </c>
      <c r="E48" s="28">
        <f>IF('Visit Log'!C48="","",IF((IF('Visit Log'!AV48="Yes",", Art","")&amp;IF('Visit Log'!AW48="Yes",", Construction","")&amp;IF('Visit Log'!AX48="Yes",", Costumes","")&amp;IF('Visit Log'!AY48="Yes",", Craft Service","")&amp;IF('Visit Log'!AZ48="Yes",", Electrical","")&amp;IF('Visit Log'!BA48="Yes",", Greens","")&amp;IF('Visit Log'!BB48="Yes",", Grip","")&amp;IF('Visit Log'!BC48="Yes",", Locations","")&amp;IF('Visit Log'!BD48="Yes",", Medic","")&amp;IF('Visit Log'!BE48="Yes",", Paint","")&amp;IF('Visit Log'!BF48="Yes",", Plaster","")&amp;IF('Visit Log'!BG48="Yes",", Props","")&amp;IF('Visit Log'!BH48="Yes",", Set Dec","")&amp;IF('Visit Log'!BI48="Yes",", Set Teacher","")&amp;IF('Visit Log'!BJ48="Yes",", Sound","")&amp;IF('Visit Log'!BK48="Yes",", SPFX","")&amp;IF('Visit Log'!BL48="Yes",", Video",""))="","",MID(IF('Visit Log'!AV48="Yes",", Art","")&amp;IF('Visit Log'!AW48="Yes",", Construction","")&amp;IF('Visit Log'!AX48="Yes",", Costumes","")&amp;IF('Visit Log'!AY48="Yes",", Craft Service","")&amp;IF('Visit Log'!AZ48="Yes",", Electrical","")&amp;IF('Visit Log'!BA48="Yes",", Greens","")&amp;IF('Visit Log'!BB48="Yes",", Grip","")&amp;IF('Visit Log'!BC48="Yes",", Locations","")&amp;IF('Visit Log'!BD48="Yes",", Medic","")&amp;IF('Visit Log'!BE48="Yes",", Paint","")&amp;IF('Visit Log'!BF48="Yes",", Plaster","")&amp;IF('Visit Log'!BG48="Yes",", Props","")&amp;IF('Visit Log'!BH48="Yes",", Set Dec","")&amp;IF('Visit Log'!BI48="Yes",", Set Teacher","")&amp;IF('Visit Log'!BJ48="Yes",", Sound","")&amp;IF('Visit Log'!BK48="Yes",", SPFX","")&amp;IF('Visit Log'!BL48="Yes",", Video",""),3,300)))</f>
        <v/>
      </c>
      <c r="F48" s="28">
        <f>IF('Visit Log'!C48="","",'Visit Log'!T48)</f>
        <v/>
      </c>
    </row>
    <row r="49">
      <c r="A49" s="32">
        <f>IF('Visit Log'!C49="","",'Visit Log'!A49)</f>
        <v/>
      </c>
      <c r="B49" s="32">
        <f>IF('Visit Log'!C49="","",'Visit Log'!C49)</f>
        <v/>
      </c>
      <c r="C49" s="32">
        <f>IF('Visit Log'!C49="","",'Visit Log'!D49)</f>
        <v/>
      </c>
      <c r="D49" s="33">
        <f>IF('Visit Log'!C49="","",'Visit Log'!B49)</f>
        <v/>
      </c>
      <c r="E49" s="32">
        <f>IF('Visit Log'!C49="","",IF((IF('Visit Log'!AV49="Yes",", Art","")&amp;IF('Visit Log'!AW49="Yes",", Construction","")&amp;IF('Visit Log'!AX49="Yes",", Costumes","")&amp;IF('Visit Log'!AY49="Yes",", Craft Service","")&amp;IF('Visit Log'!AZ49="Yes",", Electrical","")&amp;IF('Visit Log'!BA49="Yes",", Greens","")&amp;IF('Visit Log'!BB49="Yes",", Grip","")&amp;IF('Visit Log'!BC49="Yes",", Locations","")&amp;IF('Visit Log'!BD49="Yes",", Medic","")&amp;IF('Visit Log'!BE49="Yes",", Paint","")&amp;IF('Visit Log'!BF49="Yes",", Plaster","")&amp;IF('Visit Log'!BG49="Yes",", Props","")&amp;IF('Visit Log'!BH49="Yes",", Set Dec","")&amp;IF('Visit Log'!BI49="Yes",", Set Teacher","")&amp;IF('Visit Log'!BJ49="Yes",", Sound","")&amp;IF('Visit Log'!BK49="Yes",", SPFX","")&amp;IF('Visit Log'!BL49="Yes",", Video",""))="","",MID(IF('Visit Log'!AV49="Yes",", Art","")&amp;IF('Visit Log'!AW49="Yes",", Construction","")&amp;IF('Visit Log'!AX49="Yes",", Costumes","")&amp;IF('Visit Log'!AY49="Yes",", Craft Service","")&amp;IF('Visit Log'!AZ49="Yes",", Electrical","")&amp;IF('Visit Log'!BA49="Yes",", Greens","")&amp;IF('Visit Log'!BB49="Yes",", Grip","")&amp;IF('Visit Log'!BC49="Yes",", Locations","")&amp;IF('Visit Log'!BD49="Yes",", Medic","")&amp;IF('Visit Log'!BE49="Yes",", Paint","")&amp;IF('Visit Log'!BF49="Yes",", Plaster","")&amp;IF('Visit Log'!BG49="Yes",", Props","")&amp;IF('Visit Log'!BH49="Yes",", Set Dec","")&amp;IF('Visit Log'!BI49="Yes",", Set Teacher","")&amp;IF('Visit Log'!BJ49="Yes",", Sound","")&amp;IF('Visit Log'!BK49="Yes",", SPFX","")&amp;IF('Visit Log'!BL49="Yes",", Video",""),3,300)))</f>
        <v/>
      </c>
      <c r="F49" s="32">
        <f>IF('Visit Log'!C49="","",'Visit Log'!T49)</f>
        <v/>
      </c>
    </row>
    <row r="50">
      <c r="A50" s="28">
        <f>IF('Visit Log'!C50="","",'Visit Log'!A50)</f>
        <v/>
      </c>
      <c r="B50" s="28">
        <f>IF('Visit Log'!C50="","",'Visit Log'!C50)</f>
        <v/>
      </c>
      <c r="C50" s="28">
        <f>IF('Visit Log'!C50="","",'Visit Log'!D50)</f>
        <v/>
      </c>
      <c r="D50" s="29">
        <f>IF('Visit Log'!C50="","",'Visit Log'!B50)</f>
        <v/>
      </c>
      <c r="E50" s="28">
        <f>IF('Visit Log'!C50="","",IF((IF('Visit Log'!AV50="Yes",", Art","")&amp;IF('Visit Log'!AW50="Yes",", Construction","")&amp;IF('Visit Log'!AX50="Yes",", Costumes","")&amp;IF('Visit Log'!AY50="Yes",", Craft Service","")&amp;IF('Visit Log'!AZ50="Yes",", Electrical","")&amp;IF('Visit Log'!BA50="Yes",", Greens","")&amp;IF('Visit Log'!BB50="Yes",", Grip","")&amp;IF('Visit Log'!BC50="Yes",", Locations","")&amp;IF('Visit Log'!BD50="Yes",", Medic","")&amp;IF('Visit Log'!BE50="Yes",", Paint","")&amp;IF('Visit Log'!BF50="Yes",", Plaster","")&amp;IF('Visit Log'!BG50="Yes",", Props","")&amp;IF('Visit Log'!BH50="Yes",", Set Dec","")&amp;IF('Visit Log'!BI50="Yes",", Set Teacher","")&amp;IF('Visit Log'!BJ50="Yes",", Sound","")&amp;IF('Visit Log'!BK50="Yes",", SPFX","")&amp;IF('Visit Log'!BL50="Yes",", Video",""))="","",MID(IF('Visit Log'!AV50="Yes",", Art","")&amp;IF('Visit Log'!AW50="Yes",", Construction","")&amp;IF('Visit Log'!AX50="Yes",", Costumes","")&amp;IF('Visit Log'!AY50="Yes",", Craft Service","")&amp;IF('Visit Log'!AZ50="Yes",", Electrical","")&amp;IF('Visit Log'!BA50="Yes",", Greens","")&amp;IF('Visit Log'!BB50="Yes",", Grip","")&amp;IF('Visit Log'!BC50="Yes",", Locations","")&amp;IF('Visit Log'!BD50="Yes",", Medic","")&amp;IF('Visit Log'!BE50="Yes",", Paint","")&amp;IF('Visit Log'!BF50="Yes",", Plaster","")&amp;IF('Visit Log'!BG50="Yes",", Props","")&amp;IF('Visit Log'!BH50="Yes",", Set Dec","")&amp;IF('Visit Log'!BI50="Yes",", Set Teacher","")&amp;IF('Visit Log'!BJ50="Yes",", Sound","")&amp;IF('Visit Log'!BK50="Yes",", SPFX","")&amp;IF('Visit Log'!BL50="Yes",", Video",""),3,300)))</f>
        <v/>
      </c>
      <c r="F50" s="28">
        <f>IF('Visit Log'!C50="","",'Visit Log'!T50)</f>
        <v/>
      </c>
    </row>
    <row r="51">
      <c r="A51" s="32">
        <f>IF('Visit Log'!C51="","",'Visit Log'!A51)</f>
        <v/>
      </c>
      <c r="B51" s="32">
        <f>IF('Visit Log'!C51="","",'Visit Log'!C51)</f>
        <v/>
      </c>
      <c r="C51" s="32">
        <f>IF('Visit Log'!C51="","",'Visit Log'!D51)</f>
        <v/>
      </c>
      <c r="D51" s="33">
        <f>IF('Visit Log'!C51="","",'Visit Log'!B51)</f>
        <v/>
      </c>
      <c r="E51" s="32">
        <f>IF('Visit Log'!C51="","",IF((IF('Visit Log'!AV51="Yes",", Art","")&amp;IF('Visit Log'!AW51="Yes",", Construction","")&amp;IF('Visit Log'!AX51="Yes",", Costumes","")&amp;IF('Visit Log'!AY51="Yes",", Craft Service","")&amp;IF('Visit Log'!AZ51="Yes",", Electrical","")&amp;IF('Visit Log'!BA51="Yes",", Greens","")&amp;IF('Visit Log'!BB51="Yes",", Grip","")&amp;IF('Visit Log'!BC51="Yes",", Locations","")&amp;IF('Visit Log'!BD51="Yes",", Medic","")&amp;IF('Visit Log'!BE51="Yes",", Paint","")&amp;IF('Visit Log'!BF51="Yes",", Plaster","")&amp;IF('Visit Log'!BG51="Yes",", Props","")&amp;IF('Visit Log'!BH51="Yes",", Set Dec","")&amp;IF('Visit Log'!BI51="Yes",", Set Teacher","")&amp;IF('Visit Log'!BJ51="Yes",", Sound","")&amp;IF('Visit Log'!BK51="Yes",", SPFX","")&amp;IF('Visit Log'!BL51="Yes",", Video",""))="","",MID(IF('Visit Log'!AV51="Yes",", Art","")&amp;IF('Visit Log'!AW51="Yes",", Construction","")&amp;IF('Visit Log'!AX51="Yes",", Costumes","")&amp;IF('Visit Log'!AY51="Yes",", Craft Service","")&amp;IF('Visit Log'!AZ51="Yes",", Electrical","")&amp;IF('Visit Log'!BA51="Yes",", Greens","")&amp;IF('Visit Log'!BB51="Yes",", Grip","")&amp;IF('Visit Log'!BC51="Yes",", Locations","")&amp;IF('Visit Log'!BD51="Yes",", Medic","")&amp;IF('Visit Log'!BE51="Yes",", Paint","")&amp;IF('Visit Log'!BF51="Yes",", Plaster","")&amp;IF('Visit Log'!BG51="Yes",", Props","")&amp;IF('Visit Log'!BH51="Yes",", Set Dec","")&amp;IF('Visit Log'!BI51="Yes",", Set Teacher","")&amp;IF('Visit Log'!BJ51="Yes",", Sound","")&amp;IF('Visit Log'!BK51="Yes",", SPFX","")&amp;IF('Visit Log'!BL51="Yes",", Video",""),3,300)))</f>
        <v/>
      </c>
      <c r="F51" s="32">
        <f>IF('Visit Log'!C51="","",'Visit Log'!T51)</f>
        <v/>
      </c>
    </row>
    <row r="52">
      <c r="A52" s="28">
        <f>IF('Visit Log'!C52="","",'Visit Log'!A52)</f>
        <v/>
      </c>
      <c r="B52" s="28">
        <f>IF('Visit Log'!C52="","",'Visit Log'!C52)</f>
        <v/>
      </c>
      <c r="C52" s="28">
        <f>IF('Visit Log'!C52="","",'Visit Log'!D52)</f>
        <v/>
      </c>
      <c r="D52" s="29">
        <f>IF('Visit Log'!C52="","",'Visit Log'!B52)</f>
        <v/>
      </c>
      <c r="E52" s="28">
        <f>IF('Visit Log'!C52="","",IF((IF('Visit Log'!AV52="Yes",", Art","")&amp;IF('Visit Log'!AW52="Yes",", Construction","")&amp;IF('Visit Log'!AX52="Yes",", Costumes","")&amp;IF('Visit Log'!AY52="Yes",", Craft Service","")&amp;IF('Visit Log'!AZ52="Yes",", Electrical","")&amp;IF('Visit Log'!BA52="Yes",", Greens","")&amp;IF('Visit Log'!BB52="Yes",", Grip","")&amp;IF('Visit Log'!BC52="Yes",", Locations","")&amp;IF('Visit Log'!BD52="Yes",", Medic","")&amp;IF('Visit Log'!BE52="Yes",", Paint","")&amp;IF('Visit Log'!BF52="Yes",", Plaster","")&amp;IF('Visit Log'!BG52="Yes",", Props","")&amp;IF('Visit Log'!BH52="Yes",", Set Dec","")&amp;IF('Visit Log'!BI52="Yes",", Set Teacher","")&amp;IF('Visit Log'!BJ52="Yes",", Sound","")&amp;IF('Visit Log'!BK52="Yes",", SPFX","")&amp;IF('Visit Log'!BL52="Yes",", Video",""))="","",MID(IF('Visit Log'!AV52="Yes",", Art","")&amp;IF('Visit Log'!AW52="Yes",", Construction","")&amp;IF('Visit Log'!AX52="Yes",", Costumes","")&amp;IF('Visit Log'!AY52="Yes",", Craft Service","")&amp;IF('Visit Log'!AZ52="Yes",", Electrical","")&amp;IF('Visit Log'!BA52="Yes",", Greens","")&amp;IF('Visit Log'!BB52="Yes",", Grip","")&amp;IF('Visit Log'!BC52="Yes",", Locations","")&amp;IF('Visit Log'!BD52="Yes",", Medic","")&amp;IF('Visit Log'!BE52="Yes",", Paint","")&amp;IF('Visit Log'!BF52="Yes",", Plaster","")&amp;IF('Visit Log'!BG52="Yes",", Props","")&amp;IF('Visit Log'!BH52="Yes",", Set Dec","")&amp;IF('Visit Log'!BI52="Yes",", Set Teacher","")&amp;IF('Visit Log'!BJ52="Yes",", Sound","")&amp;IF('Visit Log'!BK52="Yes",", SPFX","")&amp;IF('Visit Log'!BL52="Yes",", Video",""),3,300)))</f>
        <v/>
      </c>
      <c r="F52" s="28">
        <f>IF('Visit Log'!C52="","",'Visit Log'!T52)</f>
        <v/>
      </c>
    </row>
    <row r="53">
      <c r="A53" s="32">
        <f>IF('Visit Log'!C53="","",'Visit Log'!A53)</f>
        <v/>
      </c>
      <c r="B53" s="32">
        <f>IF('Visit Log'!C53="","",'Visit Log'!C53)</f>
        <v/>
      </c>
      <c r="C53" s="32">
        <f>IF('Visit Log'!C53="","",'Visit Log'!D53)</f>
        <v/>
      </c>
      <c r="D53" s="33">
        <f>IF('Visit Log'!C53="","",'Visit Log'!B53)</f>
        <v/>
      </c>
      <c r="E53" s="32">
        <f>IF('Visit Log'!C53="","",IF((IF('Visit Log'!AV53="Yes",", Art","")&amp;IF('Visit Log'!AW53="Yes",", Construction","")&amp;IF('Visit Log'!AX53="Yes",", Costumes","")&amp;IF('Visit Log'!AY53="Yes",", Craft Service","")&amp;IF('Visit Log'!AZ53="Yes",", Electrical","")&amp;IF('Visit Log'!BA53="Yes",", Greens","")&amp;IF('Visit Log'!BB53="Yes",", Grip","")&amp;IF('Visit Log'!BC53="Yes",", Locations","")&amp;IF('Visit Log'!BD53="Yes",", Medic","")&amp;IF('Visit Log'!BE53="Yes",", Paint","")&amp;IF('Visit Log'!BF53="Yes",", Plaster","")&amp;IF('Visit Log'!BG53="Yes",", Props","")&amp;IF('Visit Log'!BH53="Yes",", Set Dec","")&amp;IF('Visit Log'!BI53="Yes",", Set Teacher","")&amp;IF('Visit Log'!BJ53="Yes",", Sound","")&amp;IF('Visit Log'!BK53="Yes",", SPFX","")&amp;IF('Visit Log'!BL53="Yes",", Video",""))="","",MID(IF('Visit Log'!AV53="Yes",", Art","")&amp;IF('Visit Log'!AW53="Yes",", Construction","")&amp;IF('Visit Log'!AX53="Yes",", Costumes","")&amp;IF('Visit Log'!AY53="Yes",", Craft Service","")&amp;IF('Visit Log'!AZ53="Yes",", Electrical","")&amp;IF('Visit Log'!BA53="Yes",", Greens","")&amp;IF('Visit Log'!BB53="Yes",", Grip","")&amp;IF('Visit Log'!BC53="Yes",", Locations","")&amp;IF('Visit Log'!BD53="Yes",", Medic","")&amp;IF('Visit Log'!BE53="Yes",", Paint","")&amp;IF('Visit Log'!BF53="Yes",", Plaster","")&amp;IF('Visit Log'!BG53="Yes",", Props","")&amp;IF('Visit Log'!BH53="Yes",", Set Dec","")&amp;IF('Visit Log'!BI53="Yes",", Set Teacher","")&amp;IF('Visit Log'!BJ53="Yes",", Sound","")&amp;IF('Visit Log'!BK53="Yes",", SPFX","")&amp;IF('Visit Log'!BL53="Yes",", Video",""),3,300)))</f>
        <v/>
      </c>
      <c r="F53" s="32">
        <f>IF('Visit Log'!C53="","",'Visit Log'!T53)</f>
        <v/>
      </c>
    </row>
    <row r="54">
      <c r="A54" s="28">
        <f>IF('Visit Log'!C54="","",'Visit Log'!A54)</f>
        <v/>
      </c>
      <c r="B54" s="28">
        <f>IF('Visit Log'!C54="","",'Visit Log'!C54)</f>
        <v/>
      </c>
      <c r="C54" s="28">
        <f>IF('Visit Log'!C54="","",'Visit Log'!D54)</f>
        <v/>
      </c>
      <c r="D54" s="29">
        <f>IF('Visit Log'!C54="","",'Visit Log'!B54)</f>
        <v/>
      </c>
      <c r="E54" s="28">
        <f>IF('Visit Log'!C54="","",IF((IF('Visit Log'!AV54="Yes",", Art","")&amp;IF('Visit Log'!AW54="Yes",", Construction","")&amp;IF('Visit Log'!AX54="Yes",", Costumes","")&amp;IF('Visit Log'!AY54="Yes",", Craft Service","")&amp;IF('Visit Log'!AZ54="Yes",", Electrical","")&amp;IF('Visit Log'!BA54="Yes",", Greens","")&amp;IF('Visit Log'!BB54="Yes",", Grip","")&amp;IF('Visit Log'!BC54="Yes",", Locations","")&amp;IF('Visit Log'!BD54="Yes",", Medic","")&amp;IF('Visit Log'!BE54="Yes",", Paint","")&amp;IF('Visit Log'!BF54="Yes",", Plaster","")&amp;IF('Visit Log'!BG54="Yes",", Props","")&amp;IF('Visit Log'!BH54="Yes",", Set Dec","")&amp;IF('Visit Log'!BI54="Yes",", Set Teacher","")&amp;IF('Visit Log'!BJ54="Yes",", Sound","")&amp;IF('Visit Log'!BK54="Yes",", SPFX","")&amp;IF('Visit Log'!BL54="Yes",", Video",""))="","",MID(IF('Visit Log'!AV54="Yes",", Art","")&amp;IF('Visit Log'!AW54="Yes",", Construction","")&amp;IF('Visit Log'!AX54="Yes",", Costumes","")&amp;IF('Visit Log'!AY54="Yes",", Craft Service","")&amp;IF('Visit Log'!AZ54="Yes",", Electrical","")&amp;IF('Visit Log'!BA54="Yes",", Greens","")&amp;IF('Visit Log'!BB54="Yes",", Grip","")&amp;IF('Visit Log'!BC54="Yes",", Locations","")&amp;IF('Visit Log'!BD54="Yes",", Medic","")&amp;IF('Visit Log'!BE54="Yes",", Paint","")&amp;IF('Visit Log'!BF54="Yes",", Plaster","")&amp;IF('Visit Log'!BG54="Yes",", Props","")&amp;IF('Visit Log'!BH54="Yes",", Set Dec","")&amp;IF('Visit Log'!BI54="Yes",", Set Teacher","")&amp;IF('Visit Log'!BJ54="Yes",", Sound","")&amp;IF('Visit Log'!BK54="Yes",", SPFX","")&amp;IF('Visit Log'!BL54="Yes",", Video",""),3,300)))</f>
        <v/>
      </c>
      <c r="F54" s="28">
        <f>IF('Visit Log'!C54="","",'Visit Log'!T54)</f>
        <v/>
      </c>
    </row>
    <row r="55">
      <c r="A55" s="32">
        <f>IF('Visit Log'!C55="","",'Visit Log'!A55)</f>
        <v/>
      </c>
      <c r="B55" s="32">
        <f>IF('Visit Log'!C55="","",'Visit Log'!C55)</f>
        <v/>
      </c>
      <c r="C55" s="32">
        <f>IF('Visit Log'!C55="","",'Visit Log'!D55)</f>
        <v/>
      </c>
      <c r="D55" s="33">
        <f>IF('Visit Log'!C55="","",'Visit Log'!B55)</f>
        <v/>
      </c>
      <c r="E55" s="32">
        <f>IF('Visit Log'!C55="","",IF((IF('Visit Log'!AV55="Yes",", Art","")&amp;IF('Visit Log'!AW55="Yes",", Construction","")&amp;IF('Visit Log'!AX55="Yes",", Costumes","")&amp;IF('Visit Log'!AY55="Yes",", Craft Service","")&amp;IF('Visit Log'!AZ55="Yes",", Electrical","")&amp;IF('Visit Log'!BA55="Yes",", Greens","")&amp;IF('Visit Log'!BB55="Yes",", Grip","")&amp;IF('Visit Log'!BC55="Yes",", Locations","")&amp;IF('Visit Log'!BD55="Yes",", Medic","")&amp;IF('Visit Log'!BE55="Yes",", Paint","")&amp;IF('Visit Log'!BF55="Yes",", Plaster","")&amp;IF('Visit Log'!BG55="Yes",", Props","")&amp;IF('Visit Log'!BH55="Yes",", Set Dec","")&amp;IF('Visit Log'!BI55="Yes",", Set Teacher","")&amp;IF('Visit Log'!BJ55="Yes",", Sound","")&amp;IF('Visit Log'!BK55="Yes",", SPFX","")&amp;IF('Visit Log'!BL55="Yes",", Video",""))="","",MID(IF('Visit Log'!AV55="Yes",", Art","")&amp;IF('Visit Log'!AW55="Yes",", Construction","")&amp;IF('Visit Log'!AX55="Yes",", Costumes","")&amp;IF('Visit Log'!AY55="Yes",", Craft Service","")&amp;IF('Visit Log'!AZ55="Yes",", Electrical","")&amp;IF('Visit Log'!BA55="Yes",", Greens","")&amp;IF('Visit Log'!BB55="Yes",", Grip","")&amp;IF('Visit Log'!BC55="Yes",", Locations","")&amp;IF('Visit Log'!BD55="Yes",", Medic","")&amp;IF('Visit Log'!BE55="Yes",", Paint","")&amp;IF('Visit Log'!BF55="Yes",", Plaster","")&amp;IF('Visit Log'!BG55="Yes",", Props","")&amp;IF('Visit Log'!BH55="Yes",", Set Dec","")&amp;IF('Visit Log'!BI55="Yes",", Set Teacher","")&amp;IF('Visit Log'!BJ55="Yes",", Sound","")&amp;IF('Visit Log'!BK55="Yes",", SPFX","")&amp;IF('Visit Log'!BL55="Yes",", Video",""),3,300)))</f>
        <v/>
      </c>
      <c r="F55" s="32">
        <f>IF('Visit Log'!C55="","",'Visit Log'!T55)</f>
        <v/>
      </c>
    </row>
    <row r="56">
      <c r="A56" s="28">
        <f>IF('Visit Log'!C56="","",'Visit Log'!A56)</f>
        <v/>
      </c>
      <c r="B56" s="28">
        <f>IF('Visit Log'!C56="","",'Visit Log'!C56)</f>
        <v/>
      </c>
      <c r="C56" s="28">
        <f>IF('Visit Log'!C56="","",'Visit Log'!D56)</f>
        <v/>
      </c>
      <c r="D56" s="29">
        <f>IF('Visit Log'!C56="","",'Visit Log'!B56)</f>
        <v/>
      </c>
      <c r="E56" s="28">
        <f>IF('Visit Log'!C56="","",IF((IF('Visit Log'!AV56="Yes",", Art","")&amp;IF('Visit Log'!AW56="Yes",", Construction","")&amp;IF('Visit Log'!AX56="Yes",", Costumes","")&amp;IF('Visit Log'!AY56="Yes",", Craft Service","")&amp;IF('Visit Log'!AZ56="Yes",", Electrical","")&amp;IF('Visit Log'!BA56="Yes",", Greens","")&amp;IF('Visit Log'!BB56="Yes",", Grip","")&amp;IF('Visit Log'!BC56="Yes",", Locations","")&amp;IF('Visit Log'!BD56="Yes",", Medic","")&amp;IF('Visit Log'!BE56="Yes",", Paint","")&amp;IF('Visit Log'!BF56="Yes",", Plaster","")&amp;IF('Visit Log'!BG56="Yes",", Props","")&amp;IF('Visit Log'!BH56="Yes",", Set Dec","")&amp;IF('Visit Log'!BI56="Yes",", Set Teacher","")&amp;IF('Visit Log'!BJ56="Yes",", Sound","")&amp;IF('Visit Log'!BK56="Yes",", SPFX","")&amp;IF('Visit Log'!BL56="Yes",", Video",""))="","",MID(IF('Visit Log'!AV56="Yes",", Art","")&amp;IF('Visit Log'!AW56="Yes",", Construction","")&amp;IF('Visit Log'!AX56="Yes",", Costumes","")&amp;IF('Visit Log'!AY56="Yes",", Craft Service","")&amp;IF('Visit Log'!AZ56="Yes",", Electrical","")&amp;IF('Visit Log'!BA56="Yes",", Greens","")&amp;IF('Visit Log'!BB56="Yes",", Grip","")&amp;IF('Visit Log'!BC56="Yes",", Locations","")&amp;IF('Visit Log'!BD56="Yes",", Medic","")&amp;IF('Visit Log'!BE56="Yes",", Paint","")&amp;IF('Visit Log'!BF56="Yes",", Plaster","")&amp;IF('Visit Log'!BG56="Yes",", Props","")&amp;IF('Visit Log'!BH56="Yes",", Set Dec","")&amp;IF('Visit Log'!BI56="Yes",", Set Teacher","")&amp;IF('Visit Log'!BJ56="Yes",", Sound","")&amp;IF('Visit Log'!BK56="Yes",", SPFX","")&amp;IF('Visit Log'!BL56="Yes",", Video",""),3,300)))</f>
        <v/>
      </c>
      <c r="F56" s="28">
        <f>IF('Visit Log'!C56="","",'Visit Log'!T56)</f>
        <v/>
      </c>
    </row>
    <row r="57">
      <c r="A57" s="32">
        <f>IF('Visit Log'!C57="","",'Visit Log'!A57)</f>
        <v/>
      </c>
      <c r="B57" s="32">
        <f>IF('Visit Log'!C57="","",'Visit Log'!C57)</f>
        <v/>
      </c>
      <c r="C57" s="32">
        <f>IF('Visit Log'!C57="","",'Visit Log'!D57)</f>
        <v/>
      </c>
      <c r="D57" s="33">
        <f>IF('Visit Log'!C57="","",'Visit Log'!B57)</f>
        <v/>
      </c>
      <c r="E57" s="32">
        <f>IF('Visit Log'!C57="","",IF((IF('Visit Log'!AV57="Yes",", Art","")&amp;IF('Visit Log'!AW57="Yes",", Construction","")&amp;IF('Visit Log'!AX57="Yes",", Costumes","")&amp;IF('Visit Log'!AY57="Yes",", Craft Service","")&amp;IF('Visit Log'!AZ57="Yes",", Electrical","")&amp;IF('Visit Log'!BA57="Yes",", Greens","")&amp;IF('Visit Log'!BB57="Yes",", Grip","")&amp;IF('Visit Log'!BC57="Yes",", Locations","")&amp;IF('Visit Log'!BD57="Yes",", Medic","")&amp;IF('Visit Log'!BE57="Yes",", Paint","")&amp;IF('Visit Log'!BF57="Yes",", Plaster","")&amp;IF('Visit Log'!BG57="Yes",", Props","")&amp;IF('Visit Log'!BH57="Yes",", Set Dec","")&amp;IF('Visit Log'!BI57="Yes",", Set Teacher","")&amp;IF('Visit Log'!BJ57="Yes",", Sound","")&amp;IF('Visit Log'!BK57="Yes",", SPFX","")&amp;IF('Visit Log'!BL57="Yes",", Video",""))="","",MID(IF('Visit Log'!AV57="Yes",", Art","")&amp;IF('Visit Log'!AW57="Yes",", Construction","")&amp;IF('Visit Log'!AX57="Yes",", Costumes","")&amp;IF('Visit Log'!AY57="Yes",", Craft Service","")&amp;IF('Visit Log'!AZ57="Yes",", Electrical","")&amp;IF('Visit Log'!BA57="Yes",", Greens","")&amp;IF('Visit Log'!BB57="Yes",", Grip","")&amp;IF('Visit Log'!BC57="Yes",", Locations","")&amp;IF('Visit Log'!BD57="Yes",", Medic","")&amp;IF('Visit Log'!BE57="Yes",", Paint","")&amp;IF('Visit Log'!BF57="Yes",", Plaster","")&amp;IF('Visit Log'!BG57="Yes",", Props","")&amp;IF('Visit Log'!BH57="Yes",", Set Dec","")&amp;IF('Visit Log'!BI57="Yes",", Set Teacher","")&amp;IF('Visit Log'!BJ57="Yes",", Sound","")&amp;IF('Visit Log'!BK57="Yes",", SPFX","")&amp;IF('Visit Log'!BL57="Yes",", Video",""),3,300)))</f>
        <v/>
      </c>
      <c r="F57" s="32">
        <f>IF('Visit Log'!C57="","",'Visit Log'!T57)</f>
        <v/>
      </c>
    </row>
    <row r="58">
      <c r="A58" s="28">
        <f>IF('Visit Log'!C58="","",'Visit Log'!A58)</f>
        <v/>
      </c>
      <c r="B58" s="28">
        <f>IF('Visit Log'!C58="","",'Visit Log'!C58)</f>
        <v/>
      </c>
      <c r="C58" s="28">
        <f>IF('Visit Log'!C58="","",'Visit Log'!D58)</f>
        <v/>
      </c>
      <c r="D58" s="29">
        <f>IF('Visit Log'!C58="","",'Visit Log'!B58)</f>
        <v/>
      </c>
      <c r="E58" s="28">
        <f>IF('Visit Log'!C58="","",IF((IF('Visit Log'!AV58="Yes",", Art","")&amp;IF('Visit Log'!AW58="Yes",", Construction","")&amp;IF('Visit Log'!AX58="Yes",", Costumes","")&amp;IF('Visit Log'!AY58="Yes",", Craft Service","")&amp;IF('Visit Log'!AZ58="Yes",", Electrical","")&amp;IF('Visit Log'!BA58="Yes",", Greens","")&amp;IF('Visit Log'!BB58="Yes",", Grip","")&amp;IF('Visit Log'!BC58="Yes",", Locations","")&amp;IF('Visit Log'!BD58="Yes",", Medic","")&amp;IF('Visit Log'!BE58="Yes",", Paint","")&amp;IF('Visit Log'!BF58="Yes",", Plaster","")&amp;IF('Visit Log'!BG58="Yes",", Props","")&amp;IF('Visit Log'!BH58="Yes",", Set Dec","")&amp;IF('Visit Log'!BI58="Yes",", Set Teacher","")&amp;IF('Visit Log'!BJ58="Yes",", Sound","")&amp;IF('Visit Log'!BK58="Yes",", SPFX","")&amp;IF('Visit Log'!BL58="Yes",", Video",""))="","",MID(IF('Visit Log'!AV58="Yes",", Art","")&amp;IF('Visit Log'!AW58="Yes",", Construction","")&amp;IF('Visit Log'!AX58="Yes",", Costumes","")&amp;IF('Visit Log'!AY58="Yes",", Craft Service","")&amp;IF('Visit Log'!AZ58="Yes",", Electrical","")&amp;IF('Visit Log'!BA58="Yes",", Greens","")&amp;IF('Visit Log'!BB58="Yes",", Grip","")&amp;IF('Visit Log'!BC58="Yes",", Locations","")&amp;IF('Visit Log'!BD58="Yes",", Medic","")&amp;IF('Visit Log'!BE58="Yes",", Paint","")&amp;IF('Visit Log'!BF58="Yes",", Plaster","")&amp;IF('Visit Log'!BG58="Yes",", Props","")&amp;IF('Visit Log'!BH58="Yes",", Set Dec","")&amp;IF('Visit Log'!BI58="Yes",", Set Teacher","")&amp;IF('Visit Log'!BJ58="Yes",", Sound","")&amp;IF('Visit Log'!BK58="Yes",", SPFX","")&amp;IF('Visit Log'!BL58="Yes",", Video",""),3,300)))</f>
        <v/>
      </c>
      <c r="F58" s="28">
        <f>IF('Visit Log'!C58="","",'Visit Log'!T58)</f>
        <v/>
      </c>
    </row>
    <row r="59">
      <c r="A59" s="32">
        <f>IF('Visit Log'!C59="","",'Visit Log'!A59)</f>
        <v/>
      </c>
      <c r="B59" s="32">
        <f>IF('Visit Log'!C59="","",'Visit Log'!C59)</f>
        <v/>
      </c>
      <c r="C59" s="32">
        <f>IF('Visit Log'!C59="","",'Visit Log'!D59)</f>
        <v/>
      </c>
      <c r="D59" s="33">
        <f>IF('Visit Log'!C59="","",'Visit Log'!B59)</f>
        <v/>
      </c>
      <c r="E59" s="32">
        <f>IF('Visit Log'!C59="","",IF((IF('Visit Log'!AV59="Yes",", Art","")&amp;IF('Visit Log'!AW59="Yes",", Construction","")&amp;IF('Visit Log'!AX59="Yes",", Costumes","")&amp;IF('Visit Log'!AY59="Yes",", Craft Service","")&amp;IF('Visit Log'!AZ59="Yes",", Electrical","")&amp;IF('Visit Log'!BA59="Yes",", Greens","")&amp;IF('Visit Log'!BB59="Yes",", Grip","")&amp;IF('Visit Log'!BC59="Yes",", Locations","")&amp;IF('Visit Log'!BD59="Yes",", Medic","")&amp;IF('Visit Log'!BE59="Yes",", Paint","")&amp;IF('Visit Log'!BF59="Yes",", Plaster","")&amp;IF('Visit Log'!BG59="Yes",", Props","")&amp;IF('Visit Log'!BH59="Yes",", Set Dec","")&amp;IF('Visit Log'!BI59="Yes",", Set Teacher","")&amp;IF('Visit Log'!BJ59="Yes",", Sound","")&amp;IF('Visit Log'!BK59="Yes",", SPFX","")&amp;IF('Visit Log'!BL59="Yes",", Video",""))="","",MID(IF('Visit Log'!AV59="Yes",", Art","")&amp;IF('Visit Log'!AW59="Yes",", Construction","")&amp;IF('Visit Log'!AX59="Yes",", Costumes","")&amp;IF('Visit Log'!AY59="Yes",", Craft Service","")&amp;IF('Visit Log'!AZ59="Yes",", Electrical","")&amp;IF('Visit Log'!BA59="Yes",", Greens","")&amp;IF('Visit Log'!BB59="Yes",", Grip","")&amp;IF('Visit Log'!BC59="Yes",", Locations","")&amp;IF('Visit Log'!BD59="Yes",", Medic","")&amp;IF('Visit Log'!BE59="Yes",", Paint","")&amp;IF('Visit Log'!BF59="Yes",", Plaster","")&amp;IF('Visit Log'!BG59="Yes",", Props","")&amp;IF('Visit Log'!BH59="Yes",", Set Dec","")&amp;IF('Visit Log'!BI59="Yes",", Set Teacher","")&amp;IF('Visit Log'!BJ59="Yes",", Sound","")&amp;IF('Visit Log'!BK59="Yes",", SPFX","")&amp;IF('Visit Log'!BL59="Yes",", Video",""),3,300)))</f>
        <v/>
      </c>
      <c r="F59" s="32">
        <f>IF('Visit Log'!C59="","",'Visit Log'!T59)</f>
        <v/>
      </c>
    </row>
    <row r="60">
      <c r="A60" s="28">
        <f>IF('Visit Log'!C60="","",'Visit Log'!A60)</f>
        <v/>
      </c>
      <c r="B60" s="28">
        <f>IF('Visit Log'!C60="","",'Visit Log'!C60)</f>
        <v/>
      </c>
      <c r="C60" s="28">
        <f>IF('Visit Log'!C60="","",'Visit Log'!D60)</f>
        <v/>
      </c>
      <c r="D60" s="29">
        <f>IF('Visit Log'!C60="","",'Visit Log'!B60)</f>
        <v/>
      </c>
      <c r="E60" s="28">
        <f>IF('Visit Log'!C60="","",IF((IF('Visit Log'!AV60="Yes",", Art","")&amp;IF('Visit Log'!AW60="Yes",", Construction","")&amp;IF('Visit Log'!AX60="Yes",", Costumes","")&amp;IF('Visit Log'!AY60="Yes",", Craft Service","")&amp;IF('Visit Log'!AZ60="Yes",", Electrical","")&amp;IF('Visit Log'!BA60="Yes",", Greens","")&amp;IF('Visit Log'!BB60="Yes",", Grip","")&amp;IF('Visit Log'!BC60="Yes",", Locations","")&amp;IF('Visit Log'!BD60="Yes",", Medic","")&amp;IF('Visit Log'!BE60="Yes",", Paint","")&amp;IF('Visit Log'!BF60="Yes",", Plaster","")&amp;IF('Visit Log'!BG60="Yes",", Props","")&amp;IF('Visit Log'!BH60="Yes",", Set Dec","")&amp;IF('Visit Log'!BI60="Yes",", Set Teacher","")&amp;IF('Visit Log'!BJ60="Yes",", Sound","")&amp;IF('Visit Log'!BK60="Yes",", SPFX","")&amp;IF('Visit Log'!BL60="Yes",", Video",""))="","",MID(IF('Visit Log'!AV60="Yes",", Art","")&amp;IF('Visit Log'!AW60="Yes",", Construction","")&amp;IF('Visit Log'!AX60="Yes",", Costumes","")&amp;IF('Visit Log'!AY60="Yes",", Craft Service","")&amp;IF('Visit Log'!AZ60="Yes",", Electrical","")&amp;IF('Visit Log'!BA60="Yes",", Greens","")&amp;IF('Visit Log'!BB60="Yes",", Grip","")&amp;IF('Visit Log'!BC60="Yes",", Locations","")&amp;IF('Visit Log'!BD60="Yes",", Medic","")&amp;IF('Visit Log'!BE60="Yes",", Paint","")&amp;IF('Visit Log'!BF60="Yes",", Plaster","")&amp;IF('Visit Log'!BG60="Yes",", Props","")&amp;IF('Visit Log'!BH60="Yes",", Set Dec","")&amp;IF('Visit Log'!BI60="Yes",", Set Teacher","")&amp;IF('Visit Log'!BJ60="Yes",", Sound","")&amp;IF('Visit Log'!BK60="Yes",", SPFX","")&amp;IF('Visit Log'!BL60="Yes",", Video",""),3,300)))</f>
        <v/>
      </c>
      <c r="F60" s="28">
        <f>IF('Visit Log'!C60="","",'Visit Log'!T60)</f>
        <v/>
      </c>
    </row>
    <row r="61">
      <c r="A61" s="32">
        <f>IF('Visit Log'!C61="","",'Visit Log'!A61)</f>
        <v/>
      </c>
      <c r="B61" s="32">
        <f>IF('Visit Log'!C61="","",'Visit Log'!C61)</f>
        <v/>
      </c>
      <c r="C61" s="32">
        <f>IF('Visit Log'!C61="","",'Visit Log'!D61)</f>
        <v/>
      </c>
      <c r="D61" s="33">
        <f>IF('Visit Log'!C61="","",'Visit Log'!B61)</f>
        <v/>
      </c>
      <c r="E61" s="32">
        <f>IF('Visit Log'!C61="","",IF((IF('Visit Log'!AV61="Yes",", Art","")&amp;IF('Visit Log'!AW61="Yes",", Construction","")&amp;IF('Visit Log'!AX61="Yes",", Costumes","")&amp;IF('Visit Log'!AY61="Yes",", Craft Service","")&amp;IF('Visit Log'!AZ61="Yes",", Electrical","")&amp;IF('Visit Log'!BA61="Yes",", Greens","")&amp;IF('Visit Log'!BB61="Yes",", Grip","")&amp;IF('Visit Log'!BC61="Yes",", Locations","")&amp;IF('Visit Log'!BD61="Yes",", Medic","")&amp;IF('Visit Log'!BE61="Yes",", Paint","")&amp;IF('Visit Log'!BF61="Yes",", Plaster","")&amp;IF('Visit Log'!BG61="Yes",", Props","")&amp;IF('Visit Log'!BH61="Yes",", Set Dec","")&amp;IF('Visit Log'!BI61="Yes",", Set Teacher","")&amp;IF('Visit Log'!BJ61="Yes",", Sound","")&amp;IF('Visit Log'!BK61="Yes",", SPFX","")&amp;IF('Visit Log'!BL61="Yes",", Video",""))="","",MID(IF('Visit Log'!AV61="Yes",", Art","")&amp;IF('Visit Log'!AW61="Yes",", Construction","")&amp;IF('Visit Log'!AX61="Yes",", Costumes","")&amp;IF('Visit Log'!AY61="Yes",", Craft Service","")&amp;IF('Visit Log'!AZ61="Yes",", Electrical","")&amp;IF('Visit Log'!BA61="Yes",", Greens","")&amp;IF('Visit Log'!BB61="Yes",", Grip","")&amp;IF('Visit Log'!BC61="Yes",", Locations","")&amp;IF('Visit Log'!BD61="Yes",", Medic","")&amp;IF('Visit Log'!BE61="Yes",", Paint","")&amp;IF('Visit Log'!BF61="Yes",", Plaster","")&amp;IF('Visit Log'!BG61="Yes",", Props","")&amp;IF('Visit Log'!BH61="Yes",", Set Dec","")&amp;IF('Visit Log'!BI61="Yes",", Set Teacher","")&amp;IF('Visit Log'!BJ61="Yes",", Sound","")&amp;IF('Visit Log'!BK61="Yes",", SPFX","")&amp;IF('Visit Log'!BL61="Yes",", Video",""),3,300)))</f>
        <v/>
      </c>
      <c r="F61" s="32">
        <f>IF('Visit Log'!C61="","",'Visit Log'!T61)</f>
        <v/>
      </c>
    </row>
    <row r="62">
      <c r="A62" s="28">
        <f>IF('Visit Log'!C62="","",'Visit Log'!A62)</f>
        <v/>
      </c>
      <c r="B62" s="28">
        <f>IF('Visit Log'!C62="","",'Visit Log'!C62)</f>
        <v/>
      </c>
      <c r="C62" s="28">
        <f>IF('Visit Log'!C62="","",'Visit Log'!D62)</f>
        <v/>
      </c>
      <c r="D62" s="29">
        <f>IF('Visit Log'!C62="","",'Visit Log'!B62)</f>
        <v/>
      </c>
      <c r="E62" s="28">
        <f>IF('Visit Log'!C62="","",IF((IF('Visit Log'!AV62="Yes",", Art","")&amp;IF('Visit Log'!AW62="Yes",", Construction","")&amp;IF('Visit Log'!AX62="Yes",", Costumes","")&amp;IF('Visit Log'!AY62="Yes",", Craft Service","")&amp;IF('Visit Log'!AZ62="Yes",", Electrical","")&amp;IF('Visit Log'!BA62="Yes",", Greens","")&amp;IF('Visit Log'!BB62="Yes",", Grip","")&amp;IF('Visit Log'!BC62="Yes",", Locations","")&amp;IF('Visit Log'!BD62="Yes",", Medic","")&amp;IF('Visit Log'!BE62="Yes",", Paint","")&amp;IF('Visit Log'!BF62="Yes",", Plaster","")&amp;IF('Visit Log'!BG62="Yes",", Props","")&amp;IF('Visit Log'!BH62="Yes",", Set Dec","")&amp;IF('Visit Log'!BI62="Yes",", Set Teacher","")&amp;IF('Visit Log'!BJ62="Yes",", Sound","")&amp;IF('Visit Log'!BK62="Yes",", SPFX","")&amp;IF('Visit Log'!BL62="Yes",", Video",""))="","",MID(IF('Visit Log'!AV62="Yes",", Art","")&amp;IF('Visit Log'!AW62="Yes",", Construction","")&amp;IF('Visit Log'!AX62="Yes",", Costumes","")&amp;IF('Visit Log'!AY62="Yes",", Craft Service","")&amp;IF('Visit Log'!AZ62="Yes",", Electrical","")&amp;IF('Visit Log'!BA62="Yes",", Greens","")&amp;IF('Visit Log'!BB62="Yes",", Grip","")&amp;IF('Visit Log'!BC62="Yes",", Locations","")&amp;IF('Visit Log'!BD62="Yes",", Medic","")&amp;IF('Visit Log'!BE62="Yes",", Paint","")&amp;IF('Visit Log'!BF62="Yes",", Plaster","")&amp;IF('Visit Log'!BG62="Yes",", Props","")&amp;IF('Visit Log'!BH62="Yes",", Set Dec","")&amp;IF('Visit Log'!BI62="Yes",", Set Teacher","")&amp;IF('Visit Log'!BJ62="Yes",", Sound","")&amp;IF('Visit Log'!BK62="Yes",", SPFX","")&amp;IF('Visit Log'!BL62="Yes",", Video",""),3,300)))</f>
        <v/>
      </c>
      <c r="F62" s="28">
        <f>IF('Visit Log'!C62="","",'Visit Log'!T62)</f>
        <v/>
      </c>
    </row>
    <row r="63">
      <c r="A63" s="32">
        <f>IF('Visit Log'!C63="","",'Visit Log'!A63)</f>
        <v/>
      </c>
      <c r="B63" s="32">
        <f>IF('Visit Log'!C63="","",'Visit Log'!C63)</f>
        <v/>
      </c>
      <c r="C63" s="32">
        <f>IF('Visit Log'!C63="","",'Visit Log'!D63)</f>
        <v/>
      </c>
      <c r="D63" s="33">
        <f>IF('Visit Log'!C63="","",'Visit Log'!B63)</f>
        <v/>
      </c>
      <c r="E63" s="32">
        <f>IF('Visit Log'!C63="","",IF((IF('Visit Log'!AV63="Yes",", Art","")&amp;IF('Visit Log'!AW63="Yes",", Construction","")&amp;IF('Visit Log'!AX63="Yes",", Costumes","")&amp;IF('Visit Log'!AY63="Yes",", Craft Service","")&amp;IF('Visit Log'!AZ63="Yes",", Electrical","")&amp;IF('Visit Log'!BA63="Yes",", Greens","")&amp;IF('Visit Log'!BB63="Yes",", Grip","")&amp;IF('Visit Log'!BC63="Yes",", Locations","")&amp;IF('Visit Log'!BD63="Yes",", Medic","")&amp;IF('Visit Log'!BE63="Yes",", Paint","")&amp;IF('Visit Log'!BF63="Yes",", Plaster","")&amp;IF('Visit Log'!BG63="Yes",", Props","")&amp;IF('Visit Log'!BH63="Yes",", Set Dec","")&amp;IF('Visit Log'!BI63="Yes",", Set Teacher","")&amp;IF('Visit Log'!BJ63="Yes",", Sound","")&amp;IF('Visit Log'!BK63="Yes",", SPFX","")&amp;IF('Visit Log'!BL63="Yes",", Video",""))="","",MID(IF('Visit Log'!AV63="Yes",", Art","")&amp;IF('Visit Log'!AW63="Yes",", Construction","")&amp;IF('Visit Log'!AX63="Yes",", Costumes","")&amp;IF('Visit Log'!AY63="Yes",", Craft Service","")&amp;IF('Visit Log'!AZ63="Yes",", Electrical","")&amp;IF('Visit Log'!BA63="Yes",", Greens","")&amp;IF('Visit Log'!BB63="Yes",", Grip","")&amp;IF('Visit Log'!BC63="Yes",", Locations","")&amp;IF('Visit Log'!BD63="Yes",", Medic","")&amp;IF('Visit Log'!BE63="Yes",", Paint","")&amp;IF('Visit Log'!BF63="Yes",", Plaster","")&amp;IF('Visit Log'!BG63="Yes",", Props","")&amp;IF('Visit Log'!BH63="Yes",", Set Dec","")&amp;IF('Visit Log'!BI63="Yes",", Set Teacher","")&amp;IF('Visit Log'!BJ63="Yes",", Sound","")&amp;IF('Visit Log'!BK63="Yes",", SPFX","")&amp;IF('Visit Log'!BL63="Yes",", Video",""),3,300)))</f>
        <v/>
      </c>
      <c r="F63" s="32">
        <f>IF('Visit Log'!C63="","",'Visit Log'!T63)</f>
        <v/>
      </c>
    </row>
    <row r="64">
      <c r="A64" s="28">
        <f>IF('Visit Log'!C64="","",'Visit Log'!A64)</f>
        <v/>
      </c>
      <c r="B64" s="28">
        <f>IF('Visit Log'!C64="","",'Visit Log'!C64)</f>
        <v/>
      </c>
      <c r="C64" s="28">
        <f>IF('Visit Log'!C64="","",'Visit Log'!D64)</f>
        <v/>
      </c>
      <c r="D64" s="29">
        <f>IF('Visit Log'!C64="","",'Visit Log'!B64)</f>
        <v/>
      </c>
      <c r="E64" s="28">
        <f>IF('Visit Log'!C64="","",IF((IF('Visit Log'!AV64="Yes",", Art","")&amp;IF('Visit Log'!AW64="Yes",", Construction","")&amp;IF('Visit Log'!AX64="Yes",", Costumes","")&amp;IF('Visit Log'!AY64="Yes",", Craft Service","")&amp;IF('Visit Log'!AZ64="Yes",", Electrical","")&amp;IF('Visit Log'!BA64="Yes",", Greens","")&amp;IF('Visit Log'!BB64="Yes",", Grip","")&amp;IF('Visit Log'!BC64="Yes",", Locations","")&amp;IF('Visit Log'!BD64="Yes",", Medic","")&amp;IF('Visit Log'!BE64="Yes",", Paint","")&amp;IF('Visit Log'!BF64="Yes",", Plaster","")&amp;IF('Visit Log'!BG64="Yes",", Props","")&amp;IF('Visit Log'!BH64="Yes",", Set Dec","")&amp;IF('Visit Log'!BI64="Yes",", Set Teacher","")&amp;IF('Visit Log'!BJ64="Yes",", Sound","")&amp;IF('Visit Log'!BK64="Yes",", SPFX","")&amp;IF('Visit Log'!BL64="Yes",", Video",""))="","",MID(IF('Visit Log'!AV64="Yes",", Art","")&amp;IF('Visit Log'!AW64="Yes",", Construction","")&amp;IF('Visit Log'!AX64="Yes",", Costumes","")&amp;IF('Visit Log'!AY64="Yes",", Craft Service","")&amp;IF('Visit Log'!AZ64="Yes",", Electrical","")&amp;IF('Visit Log'!BA64="Yes",", Greens","")&amp;IF('Visit Log'!BB64="Yes",", Grip","")&amp;IF('Visit Log'!BC64="Yes",", Locations","")&amp;IF('Visit Log'!BD64="Yes",", Medic","")&amp;IF('Visit Log'!BE64="Yes",", Paint","")&amp;IF('Visit Log'!BF64="Yes",", Plaster","")&amp;IF('Visit Log'!BG64="Yes",", Props","")&amp;IF('Visit Log'!BH64="Yes",", Set Dec","")&amp;IF('Visit Log'!BI64="Yes",", Set Teacher","")&amp;IF('Visit Log'!BJ64="Yes",", Sound","")&amp;IF('Visit Log'!BK64="Yes",", SPFX","")&amp;IF('Visit Log'!BL64="Yes",", Video",""),3,300)))</f>
        <v/>
      </c>
      <c r="F64" s="28">
        <f>IF('Visit Log'!C64="","",'Visit Log'!T64)</f>
        <v/>
      </c>
    </row>
    <row r="65">
      <c r="A65" s="32">
        <f>IF('Visit Log'!C65="","",'Visit Log'!A65)</f>
        <v/>
      </c>
      <c r="B65" s="32">
        <f>IF('Visit Log'!C65="","",'Visit Log'!C65)</f>
        <v/>
      </c>
      <c r="C65" s="32">
        <f>IF('Visit Log'!C65="","",'Visit Log'!D65)</f>
        <v/>
      </c>
      <c r="D65" s="33">
        <f>IF('Visit Log'!C65="","",'Visit Log'!B65)</f>
        <v/>
      </c>
      <c r="E65" s="32">
        <f>IF('Visit Log'!C65="","",IF((IF('Visit Log'!AV65="Yes",", Art","")&amp;IF('Visit Log'!AW65="Yes",", Construction","")&amp;IF('Visit Log'!AX65="Yes",", Costumes","")&amp;IF('Visit Log'!AY65="Yes",", Craft Service","")&amp;IF('Visit Log'!AZ65="Yes",", Electrical","")&amp;IF('Visit Log'!BA65="Yes",", Greens","")&amp;IF('Visit Log'!BB65="Yes",", Grip","")&amp;IF('Visit Log'!BC65="Yes",", Locations","")&amp;IF('Visit Log'!BD65="Yes",", Medic","")&amp;IF('Visit Log'!BE65="Yes",", Paint","")&amp;IF('Visit Log'!BF65="Yes",", Plaster","")&amp;IF('Visit Log'!BG65="Yes",", Props","")&amp;IF('Visit Log'!BH65="Yes",", Set Dec","")&amp;IF('Visit Log'!BI65="Yes",", Set Teacher","")&amp;IF('Visit Log'!BJ65="Yes",", Sound","")&amp;IF('Visit Log'!BK65="Yes",", SPFX","")&amp;IF('Visit Log'!BL65="Yes",", Video",""))="","",MID(IF('Visit Log'!AV65="Yes",", Art","")&amp;IF('Visit Log'!AW65="Yes",", Construction","")&amp;IF('Visit Log'!AX65="Yes",", Costumes","")&amp;IF('Visit Log'!AY65="Yes",", Craft Service","")&amp;IF('Visit Log'!AZ65="Yes",", Electrical","")&amp;IF('Visit Log'!BA65="Yes",", Greens","")&amp;IF('Visit Log'!BB65="Yes",", Grip","")&amp;IF('Visit Log'!BC65="Yes",", Locations","")&amp;IF('Visit Log'!BD65="Yes",", Medic","")&amp;IF('Visit Log'!BE65="Yes",", Paint","")&amp;IF('Visit Log'!BF65="Yes",", Plaster","")&amp;IF('Visit Log'!BG65="Yes",", Props","")&amp;IF('Visit Log'!BH65="Yes",", Set Dec","")&amp;IF('Visit Log'!BI65="Yes",", Set Teacher","")&amp;IF('Visit Log'!BJ65="Yes",", Sound","")&amp;IF('Visit Log'!BK65="Yes",", SPFX","")&amp;IF('Visit Log'!BL65="Yes",", Video",""),3,300)))</f>
        <v/>
      </c>
      <c r="F65" s="32">
        <f>IF('Visit Log'!C65="","",'Visit Log'!T65)</f>
        <v/>
      </c>
    </row>
    <row r="66">
      <c r="A66" s="28">
        <f>IF('Visit Log'!C66="","",'Visit Log'!A66)</f>
        <v/>
      </c>
      <c r="B66" s="28">
        <f>IF('Visit Log'!C66="","",'Visit Log'!C66)</f>
        <v/>
      </c>
      <c r="C66" s="28">
        <f>IF('Visit Log'!C66="","",'Visit Log'!D66)</f>
        <v/>
      </c>
      <c r="D66" s="29">
        <f>IF('Visit Log'!C66="","",'Visit Log'!B66)</f>
        <v/>
      </c>
      <c r="E66" s="28">
        <f>IF('Visit Log'!C66="","",IF((IF('Visit Log'!AV66="Yes",", Art","")&amp;IF('Visit Log'!AW66="Yes",", Construction","")&amp;IF('Visit Log'!AX66="Yes",", Costumes","")&amp;IF('Visit Log'!AY66="Yes",", Craft Service","")&amp;IF('Visit Log'!AZ66="Yes",", Electrical","")&amp;IF('Visit Log'!BA66="Yes",", Greens","")&amp;IF('Visit Log'!BB66="Yes",", Grip","")&amp;IF('Visit Log'!BC66="Yes",", Locations","")&amp;IF('Visit Log'!BD66="Yes",", Medic","")&amp;IF('Visit Log'!BE66="Yes",", Paint","")&amp;IF('Visit Log'!BF66="Yes",", Plaster","")&amp;IF('Visit Log'!BG66="Yes",", Props","")&amp;IF('Visit Log'!BH66="Yes",", Set Dec","")&amp;IF('Visit Log'!BI66="Yes",", Set Teacher","")&amp;IF('Visit Log'!BJ66="Yes",", Sound","")&amp;IF('Visit Log'!BK66="Yes",", SPFX","")&amp;IF('Visit Log'!BL66="Yes",", Video",""))="","",MID(IF('Visit Log'!AV66="Yes",", Art","")&amp;IF('Visit Log'!AW66="Yes",", Construction","")&amp;IF('Visit Log'!AX66="Yes",", Costumes","")&amp;IF('Visit Log'!AY66="Yes",", Craft Service","")&amp;IF('Visit Log'!AZ66="Yes",", Electrical","")&amp;IF('Visit Log'!BA66="Yes",", Greens","")&amp;IF('Visit Log'!BB66="Yes",", Grip","")&amp;IF('Visit Log'!BC66="Yes",", Locations","")&amp;IF('Visit Log'!BD66="Yes",", Medic","")&amp;IF('Visit Log'!BE66="Yes",", Paint","")&amp;IF('Visit Log'!BF66="Yes",", Plaster","")&amp;IF('Visit Log'!BG66="Yes",", Props","")&amp;IF('Visit Log'!BH66="Yes",", Set Dec","")&amp;IF('Visit Log'!BI66="Yes",", Set Teacher","")&amp;IF('Visit Log'!BJ66="Yes",", Sound","")&amp;IF('Visit Log'!BK66="Yes",", SPFX","")&amp;IF('Visit Log'!BL66="Yes",", Video",""),3,300)))</f>
        <v/>
      </c>
      <c r="F66" s="28">
        <f>IF('Visit Log'!C66="","",'Visit Log'!T66)</f>
        <v/>
      </c>
    </row>
    <row r="67">
      <c r="A67" s="32">
        <f>IF('Visit Log'!C67="","",'Visit Log'!A67)</f>
        <v/>
      </c>
      <c r="B67" s="32">
        <f>IF('Visit Log'!C67="","",'Visit Log'!C67)</f>
        <v/>
      </c>
      <c r="C67" s="32">
        <f>IF('Visit Log'!C67="","",'Visit Log'!D67)</f>
        <v/>
      </c>
      <c r="D67" s="33">
        <f>IF('Visit Log'!C67="","",'Visit Log'!B67)</f>
        <v/>
      </c>
      <c r="E67" s="32">
        <f>IF('Visit Log'!C67="","",IF((IF('Visit Log'!AV67="Yes",", Art","")&amp;IF('Visit Log'!AW67="Yes",", Construction","")&amp;IF('Visit Log'!AX67="Yes",", Costumes","")&amp;IF('Visit Log'!AY67="Yes",", Craft Service","")&amp;IF('Visit Log'!AZ67="Yes",", Electrical","")&amp;IF('Visit Log'!BA67="Yes",", Greens","")&amp;IF('Visit Log'!BB67="Yes",", Grip","")&amp;IF('Visit Log'!BC67="Yes",", Locations","")&amp;IF('Visit Log'!BD67="Yes",", Medic","")&amp;IF('Visit Log'!BE67="Yes",", Paint","")&amp;IF('Visit Log'!BF67="Yes",", Plaster","")&amp;IF('Visit Log'!BG67="Yes",", Props","")&amp;IF('Visit Log'!BH67="Yes",", Set Dec","")&amp;IF('Visit Log'!BI67="Yes",", Set Teacher","")&amp;IF('Visit Log'!BJ67="Yes",", Sound","")&amp;IF('Visit Log'!BK67="Yes",", SPFX","")&amp;IF('Visit Log'!BL67="Yes",", Video",""))="","",MID(IF('Visit Log'!AV67="Yes",", Art","")&amp;IF('Visit Log'!AW67="Yes",", Construction","")&amp;IF('Visit Log'!AX67="Yes",", Costumes","")&amp;IF('Visit Log'!AY67="Yes",", Craft Service","")&amp;IF('Visit Log'!AZ67="Yes",", Electrical","")&amp;IF('Visit Log'!BA67="Yes",", Greens","")&amp;IF('Visit Log'!BB67="Yes",", Grip","")&amp;IF('Visit Log'!BC67="Yes",", Locations","")&amp;IF('Visit Log'!BD67="Yes",", Medic","")&amp;IF('Visit Log'!BE67="Yes",", Paint","")&amp;IF('Visit Log'!BF67="Yes",", Plaster","")&amp;IF('Visit Log'!BG67="Yes",", Props","")&amp;IF('Visit Log'!BH67="Yes",", Set Dec","")&amp;IF('Visit Log'!BI67="Yes",", Set Teacher","")&amp;IF('Visit Log'!BJ67="Yes",", Sound","")&amp;IF('Visit Log'!BK67="Yes",", SPFX","")&amp;IF('Visit Log'!BL67="Yes",", Video",""),3,300)))</f>
        <v/>
      </c>
      <c r="F67" s="32">
        <f>IF('Visit Log'!C67="","",'Visit Log'!T67)</f>
        <v/>
      </c>
    </row>
    <row r="68">
      <c r="A68" s="28">
        <f>IF('Visit Log'!C68="","",'Visit Log'!A68)</f>
        <v/>
      </c>
      <c r="B68" s="28">
        <f>IF('Visit Log'!C68="","",'Visit Log'!C68)</f>
        <v/>
      </c>
      <c r="C68" s="28">
        <f>IF('Visit Log'!C68="","",'Visit Log'!D68)</f>
        <v/>
      </c>
      <c r="D68" s="29">
        <f>IF('Visit Log'!C68="","",'Visit Log'!B68)</f>
        <v/>
      </c>
      <c r="E68" s="28">
        <f>IF('Visit Log'!C68="","",IF((IF('Visit Log'!AV68="Yes",", Art","")&amp;IF('Visit Log'!AW68="Yes",", Construction","")&amp;IF('Visit Log'!AX68="Yes",", Costumes","")&amp;IF('Visit Log'!AY68="Yes",", Craft Service","")&amp;IF('Visit Log'!AZ68="Yes",", Electrical","")&amp;IF('Visit Log'!BA68="Yes",", Greens","")&amp;IF('Visit Log'!BB68="Yes",", Grip","")&amp;IF('Visit Log'!BC68="Yes",", Locations","")&amp;IF('Visit Log'!BD68="Yes",", Medic","")&amp;IF('Visit Log'!BE68="Yes",", Paint","")&amp;IF('Visit Log'!BF68="Yes",", Plaster","")&amp;IF('Visit Log'!BG68="Yes",", Props","")&amp;IF('Visit Log'!BH68="Yes",", Set Dec","")&amp;IF('Visit Log'!BI68="Yes",", Set Teacher","")&amp;IF('Visit Log'!BJ68="Yes",", Sound","")&amp;IF('Visit Log'!BK68="Yes",", SPFX","")&amp;IF('Visit Log'!BL68="Yes",", Video",""))="","",MID(IF('Visit Log'!AV68="Yes",", Art","")&amp;IF('Visit Log'!AW68="Yes",", Construction","")&amp;IF('Visit Log'!AX68="Yes",", Costumes","")&amp;IF('Visit Log'!AY68="Yes",", Craft Service","")&amp;IF('Visit Log'!AZ68="Yes",", Electrical","")&amp;IF('Visit Log'!BA68="Yes",", Greens","")&amp;IF('Visit Log'!BB68="Yes",", Grip","")&amp;IF('Visit Log'!BC68="Yes",", Locations","")&amp;IF('Visit Log'!BD68="Yes",", Medic","")&amp;IF('Visit Log'!BE68="Yes",", Paint","")&amp;IF('Visit Log'!BF68="Yes",", Plaster","")&amp;IF('Visit Log'!BG68="Yes",", Props","")&amp;IF('Visit Log'!BH68="Yes",", Set Dec","")&amp;IF('Visit Log'!BI68="Yes",", Set Teacher","")&amp;IF('Visit Log'!BJ68="Yes",", Sound","")&amp;IF('Visit Log'!BK68="Yes",", SPFX","")&amp;IF('Visit Log'!BL68="Yes",", Video",""),3,300)))</f>
        <v/>
      </c>
      <c r="F68" s="28">
        <f>IF('Visit Log'!C68="","",'Visit Log'!T68)</f>
        <v/>
      </c>
    </row>
    <row r="69">
      <c r="A69" s="32">
        <f>IF('Visit Log'!C69="","",'Visit Log'!A69)</f>
        <v/>
      </c>
      <c r="B69" s="32">
        <f>IF('Visit Log'!C69="","",'Visit Log'!C69)</f>
        <v/>
      </c>
      <c r="C69" s="32">
        <f>IF('Visit Log'!C69="","",'Visit Log'!D69)</f>
        <v/>
      </c>
      <c r="D69" s="33">
        <f>IF('Visit Log'!C69="","",'Visit Log'!B69)</f>
        <v/>
      </c>
      <c r="E69" s="32">
        <f>IF('Visit Log'!C69="","",IF((IF('Visit Log'!AV69="Yes",", Art","")&amp;IF('Visit Log'!AW69="Yes",", Construction","")&amp;IF('Visit Log'!AX69="Yes",", Costumes","")&amp;IF('Visit Log'!AY69="Yes",", Craft Service","")&amp;IF('Visit Log'!AZ69="Yes",", Electrical","")&amp;IF('Visit Log'!BA69="Yes",", Greens","")&amp;IF('Visit Log'!BB69="Yes",", Grip","")&amp;IF('Visit Log'!BC69="Yes",", Locations","")&amp;IF('Visit Log'!BD69="Yes",", Medic","")&amp;IF('Visit Log'!BE69="Yes",", Paint","")&amp;IF('Visit Log'!BF69="Yes",", Plaster","")&amp;IF('Visit Log'!BG69="Yes",", Props","")&amp;IF('Visit Log'!BH69="Yes",", Set Dec","")&amp;IF('Visit Log'!BI69="Yes",", Set Teacher","")&amp;IF('Visit Log'!BJ69="Yes",", Sound","")&amp;IF('Visit Log'!BK69="Yes",", SPFX","")&amp;IF('Visit Log'!BL69="Yes",", Video",""))="","",MID(IF('Visit Log'!AV69="Yes",", Art","")&amp;IF('Visit Log'!AW69="Yes",", Construction","")&amp;IF('Visit Log'!AX69="Yes",", Costumes","")&amp;IF('Visit Log'!AY69="Yes",", Craft Service","")&amp;IF('Visit Log'!AZ69="Yes",", Electrical","")&amp;IF('Visit Log'!BA69="Yes",", Greens","")&amp;IF('Visit Log'!BB69="Yes",", Grip","")&amp;IF('Visit Log'!BC69="Yes",", Locations","")&amp;IF('Visit Log'!BD69="Yes",", Medic","")&amp;IF('Visit Log'!BE69="Yes",", Paint","")&amp;IF('Visit Log'!BF69="Yes",", Plaster","")&amp;IF('Visit Log'!BG69="Yes",", Props","")&amp;IF('Visit Log'!BH69="Yes",", Set Dec","")&amp;IF('Visit Log'!BI69="Yes",", Set Teacher","")&amp;IF('Visit Log'!BJ69="Yes",", Sound","")&amp;IF('Visit Log'!BK69="Yes",", SPFX","")&amp;IF('Visit Log'!BL69="Yes",", Video",""),3,300)))</f>
        <v/>
      </c>
      <c r="F69" s="32">
        <f>IF('Visit Log'!C69="","",'Visit Log'!T69)</f>
        <v/>
      </c>
    </row>
    <row r="70">
      <c r="A70" s="28">
        <f>IF('Visit Log'!C70="","",'Visit Log'!A70)</f>
        <v/>
      </c>
      <c r="B70" s="28">
        <f>IF('Visit Log'!C70="","",'Visit Log'!C70)</f>
        <v/>
      </c>
      <c r="C70" s="28">
        <f>IF('Visit Log'!C70="","",'Visit Log'!D70)</f>
        <v/>
      </c>
      <c r="D70" s="29">
        <f>IF('Visit Log'!C70="","",'Visit Log'!B70)</f>
        <v/>
      </c>
      <c r="E70" s="28">
        <f>IF('Visit Log'!C70="","",IF((IF('Visit Log'!AV70="Yes",", Art","")&amp;IF('Visit Log'!AW70="Yes",", Construction","")&amp;IF('Visit Log'!AX70="Yes",", Costumes","")&amp;IF('Visit Log'!AY70="Yes",", Craft Service","")&amp;IF('Visit Log'!AZ70="Yes",", Electrical","")&amp;IF('Visit Log'!BA70="Yes",", Greens","")&amp;IF('Visit Log'!BB70="Yes",", Grip","")&amp;IF('Visit Log'!BC70="Yes",", Locations","")&amp;IF('Visit Log'!BD70="Yes",", Medic","")&amp;IF('Visit Log'!BE70="Yes",", Paint","")&amp;IF('Visit Log'!BF70="Yes",", Plaster","")&amp;IF('Visit Log'!BG70="Yes",", Props","")&amp;IF('Visit Log'!BH70="Yes",", Set Dec","")&amp;IF('Visit Log'!BI70="Yes",", Set Teacher","")&amp;IF('Visit Log'!BJ70="Yes",", Sound","")&amp;IF('Visit Log'!BK70="Yes",", SPFX","")&amp;IF('Visit Log'!BL70="Yes",", Video",""))="","",MID(IF('Visit Log'!AV70="Yes",", Art","")&amp;IF('Visit Log'!AW70="Yes",", Construction","")&amp;IF('Visit Log'!AX70="Yes",", Costumes","")&amp;IF('Visit Log'!AY70="Yes",", Craft Service","")&amp;IF('Visit Log'!AZ70="Yes",", Electrical","")&amp;IF('Visit Log'!BA70="Yes",", Greens","")&amp;IF('Visit Log'!BB70="Yes",", Grip","")&amp;IF('Visit Log'!BC70="Yes",", Locations","")&amp;IF('Visit Log'!BD70="Yes",", Medic","")&amp;IF('Visit Log'!BE70="Yes",", Paint","")&amp;IF('Visit Log'!BF70="Yes",", Plaster","")&amp;IF('Visit Log'!BG70="Yes",", Props","")&amp;IF('Visit Log'!BH70="Yes",", Set Dec","")&amp;IF('Visit Log'!BI70="Yes",", Set Teacher","")&amp;IF('Visit Log'!BJ70="Yes",", Sound","")&amp;IF('Visit Log'!BK70="Yes",", SPFX","")&amp;IF('Visit Log'!BL70="Yes",", Video",""),3,300)))</f>
        <v/>
      </c>
      <c r="F70" s="28">
        <f>IF('Visit Log'!C70="","",'Visit Log'!T70)</f>
        <v/>
      </c>
    </row>
    <row r="71">
      <c r="A71" s="32">
        <f>IF('Visit Log'!C71="","",'Visit Log'!A71)</f>
        <v/>
      </c>
      <c r="B71" s="32">
        <f>IF('Visit Log'!C71="","",'Visit Log'!C71)</f>
        <v/>
      </c>
      <c r="C71" s="32">
        <f>IF('Visit Log'!C71="","",'Visit Log'!D71)</f>
        <v/>
      </c>
      <c r="D71" s="33">
        <f>IF('Visit Log'!C71="","",'Visit Log'!B71)</f>
        <v/>
      </c>
      <c r="E71" s="32">
        <f>IF('Visit Log'!C71="","",IF((IF('Visit Log'!AV71="Yes",", Art","")&amp;IF('Visit Log'!AW71="Yes",", Construction","")&amp;IF('Visit Log'!AX71="Yes",", Costumes","")&amp;IF('Visit Log'!AY71="Yes",", Craft Service","")&amp;IF('Visit Log'!AZ71="Yes",", Electrical","")&amp;IF('Visit Log'!BA71="Yes",", Greens","")&amp;IF('Visit Log'!BB71="Yes",", Grip","")&amp;IF('Visit Log'!BC71="Yes",", Locations","")&amp;IF('Visit Log'!BD71="Yes",", Medic","")&amp;IF('Visit Log'!BE71="Yes",", Paint","")&amp;IF('Visit Log'!BF71="Yes",", Plaster","")&amp;IF('Visit Log'!BG71="Yes",", Props","")&amp;IF('Visit Log'!BH71="Yes",", Set Dec","")&amp;IF('Visit Log'!BI71="Yes",", Set Teacher","")&amp;IF('Visit Log'!BJ71="Yes",", Sound","")&amp;IF('Visit Log'!BK71="Yes",", SPFX","")&amp;IF('Visit Log'!BL71="Yes",", Video",""))="","",MID(IF('Visit Log'!AV71="Yes",", Art","")&amp;IF('Visit Log'!AW71="Yes",", Construction","")&amp;IF('Visit Log'!AX71="Yes",", Costumes","")&amp;IF('Visit Log'!AY71="Yes",", Craft Service","")&amp;IF('Visit Log'!AZ71="Yes",", Electrical","")&amp;IF('Visit Log'!BA71="Yes",", Greens","")&amp;IF('Visit Log'!BB71="Yes",", Grip","")&amp;IF('Visit Log'!BC71="Yes",", Locations","")&amp;IF('Visit Log'!BD71="Yes",", Medic","")&amp;IF('Visit Log'!BE71="Yes",", Paint","")&amp;IF('Visit Log'!BF71="Yes",", Plaster","")&amp;IF('Visit Log'!BG71="Yes",", Props","")&amp;IF('Visit Log'!BH71="Yes",", Set Dec","")&amp;IF('Visit Log'!BI71="Yes",", Set Teacher","")&amp;IF('Visit Log'!BJ71="Yes",", Sound","")&amp;IF('Visit Log'!BK71="Yes",", SPFX","")&amp;IF('Visit Log'!BL71="Yes",", Video",""),3,300)))</f>
        <v/>
      </c>
      <c r="F71" s="32">
        <f>IF('Visit Log'!C71="","",'Visit Log'!T71)</f>
        <v/>
      </c>
    </row>
    <row r="72">
      <c r="A72" s="28">
        <f>IF('Visit Log'!C72="","",'Visit Log'!A72)</f>
        <v/>
      </c>
      <c r="B72" s="28">
        <f>IF('Visit Log'!C72="","",'Visit Log'!C72)</f>
        <v/>
      </c>
      <c r="C72" s="28">
        <f>IF('Visit Log'!C72="","",'Visit Log'!D72)</f>
        <v/>
      </c>
      <c r="D72" s="29">
        <f>IF('Visit Log'!C72="","",'Visit Log'!B72)</f>
        <v/>
      </c>
      <c r="E72" s="28">
        <f>IF('Visit Log'!C72="","",IF((IF('Visit Log'!AV72="Yes",", Art","")&amp;IF('Visit Log'!AW72="Yes",", Construction","")&amp;IF('Visit Log'!AX72="Yes",", Costumes","")&amp;IF('Visit Log'!AY72="Yes",", Craft Service","")&amp;IF('Visit Log'!AZ72="Yes",", Electrical","")&amp;IF('Visit Log'!BA72="Yes",", Greens","")&amp;IF('Visit Log'!BB72="Yes",", Grip","")&amp;IF('Visit Log'!BC72="Yes",", Locations","")&amp;IF('Visit Log'!BD72="Yes",", Medic","")&amp;IF('Visit Log'!BE72="Yes",", Paint","")&amp;IF('Visit Log'!BF72="Yes",", Plaster","")&amp;IF('Visit Log'!BG72="Yes",", Props","")&amp;IF('Visit Log'!BH72="Yes",", Set Dec","")&amp;IF('Visit Log'!BI72="Yes",", Set Teacher","")&amp;IF('Visit Log'!BJ72="Yes",", Sound","")&amp;IF('Visit Log'!BK72="Yes",", SPFX","")&amp;IF('Visit Log'!BL72="Yes",", Video",""))="","",MID(IF('Visit Log'!AV72="Yes",", Art","")&amp;IF('Visit Log'!AW72="Yes",", Construction","")&amp;IF('Visit Log'!AX72="Yes",", Costumes","")&amp;IF('Visit Log'!AY72="Yes",", Craft Service","")&amp;IF('Visit Log'!AZ72="Yes",", Electrical","")&amp;IF('Visit Log'!BA72="Yes",", Greens","")&amp;IF('Visit Log'!BB72="Yes",", Grip","")&amp;IF('Visit Log'!BC72="Yes",", Locations","")&amp;IF('Visit Log'!BD72="Yes",", Medic","")&amp;IF('Visit Log'!BE72="Yes",", Paint","")&amp;IF('Visit Log'!BF72="Yes",", Plaster","")&amp;IF('Visit Log'!BG72="Yes",", Props","")&amp;IF('Visit Log'!BH72="Yes",", Set Dec","")&amp;IF('Visit Log'!BI72="Yes",", Set Teacher","")&amp;IF('Visit Log'!BJ72="Yes",", Sound","")&amp;IF('Visit Log'!BK72="Yes",", SPFX","")&amp;IF('Visit Log'!BL72="Yes",", Video",""),3,300)))</f>
        <v/>
      </c>
      <c r="F72" s="28">
        <f>IF('Visit Log'!C72="","",'Visit Log'!T72)</f>
        <v/>
      </c>
    </row>
    <row r="73">
      <c r="A73" s="32">
        <f>IF('Visit Log'!C73="","",'Visit Log'!A73)</f>
        <v/>
      </c>
      <c r="B73" s="32">
        <f>IF('Visit Log'!C73="","",'Visit Log'!C73)</f>
        <v/>
      </c>
      <c r="C73" s="32">
        <f>IF('Visit Log'!C73="","",'Visit Log'!D73)</f>
        <v/>
      </c>
      <c r="D73" s="33">
        <f>IF('Visit Log'!C73="","",'Visit Log'!B73)</f>
        <v/>
      </c>
      <c r="E73" s="32">
        <f>IF('Visit Log'!C73="","",IF((IF('Visit Log'!AV73="Yes",", Art","")&amp;IF('Visit Log'!AW73="Yes",", Construction","")&amp;IF('Visit Log'!AX73="Yes",", Costumes","")&amp;IF('Visit Log'!AY73="Yes",", Craft Service","")&amp;IF('Visit Log'!AZ73="Yes",", Electrical","")&amp;IF('Visit Log'!BA73="Yes",", Greens","")&amp;IF('Visit Log'!BB73="Yes",", Grip","")&amp;IF('Visit Log'!BC73="Yes",", Locations","")&amp;IF('Visit Log'!BD73="Yes",", Medic","")&amp;IF('Visit Log'!BE73="Yes",", Paint","")&amp;IF('Visit Log'!BF73="Yes",", Plaster","")&amp;IF('Visit Log'!BG73="Yes",", Props","")&amp;IF('Visit Log'!BH73="Yes",", Set Dec","")&amp;IF('Visit Log'!BI73="Yes",", Set Teacher","")&amp;IF('Visit Log'!BJ73="Yes",", Sound","")&amp;IF('Visit Log'!BK73="Yes",", SPFX","")&amp;IF('Visit Log'!BL73="Yes",", Video",""))="","",MID(IF('Visit Log'!AV73="Yes",", Art","")&amp;IF('Visit Log'!AW73="Yes",", Construction","")&amp;IF('Visit Log'!AX73="Yes",", Costumes","")&amp;IF('Visit Log'!AY73="Yes",", Craft Service","")&amp;IF('Visit Log'!AZ73="Yes",", Electrical","")&amp;IF('Visit Log'!BA73="Yes",", Greens","")&amp;IF('Visit Log'!BB73="Yes",", Grip","")&amp;IF('Visit Log'!BC73="Yes",", Locations","")&amp;IF('Visit Log'!BD73="Yes",", Medic","")&amp;IF('Visit Log'!BE73="Yes",", Paint","")&amp;IF('Visit Log'!BF73="Yes",", Plaster","")&amp;IF('Visit Log'!BG73="Yes",", Props","")&amp;IF('Visit Log'!BH73="Yes",", Set Dec","")&amp;IF('Visit Log'!BI73="Yes",", Set Teacher","")&amp;IF('Visit Log'!BJ73="Yes",", Sound","")&amp;IF('Visit Log'!BK73="Yes",", SPFX","")&amp;IF('Visit Log'!BL73="Yes",", Video",""),3,300)))</f>
        <v/>
      </c>
      <c r="F73" s="32">
        <f>IF('Visit Log'!C73="","",'Visit Log'!T73)</f>
        <v/>
      </c>
    </row>
    <row r="74">
      <c r="A74" s="28">
        <f>IF('Visit Log'!C74="","",'Visit Log'!A74)</f>
        <v/>
      </c>
      <c r="B74" s="28">
        <f>IF('Visit Log'!C74="","",'Visit Log'!C74)</f>
        <v/>
      </c>
      <c r="C74" s="28">
        <f>IF('Visit Log'!C74="","",'Visit Log'!D74)</f>
        <v/>
      </c>
      <c r="D74" s="29">
        <f>IF('Visit Log'!C74="","",'Visit Log'!B74)</f>
        <v/>
      </c>
      <c r="E74" s="28">
        <f>IF('Visit Log'!C74="","",IF((IF('Visit Log'!AV74="Yes",", Art","")&amp;IF('Visit Log'!AW74="Yes",", Construction","")&amp;IF('Visit Log'!AX74="Yes",", Costumes","")&amp;IF('Visit Log'!AY74="Yes",", Craft Service","")&amp;IF('Visit Log'!AZ74="Yes",", Electrical","")&amp;IF('Visit Log'!BA74="Yes",", Greens","")&amp;IF('Visit Log'!BB74="Yes",", Grip","")&amp;IF('Visit Log'!BC74="Yes",", Locations","")&amp;IF('Visit Log'!BD74="Yes",", Medic","")&amp;IF('Visit Log'!BE74="Yes",", Paint","")&amp;IF('Visit Log'!BF74="Yes",", Plaster","")&amp;IF('Visit Log'!BG74="Yes",", Props","")&amp;IF('Visit Log'!BH74="Yes",", Set Dec","")&amp;IF('Visit Log'!BI74="Yes",", Set Teacher","")&amp;IF('Visit Log'!BJ74="Yes",", Sound","")&amp;IF('Visit Log'!BK74="Yes",", SPFX","")&amp;IF('Visit Log'!BL74="Yes",", Video",""))="","",MID(IF('Visit Log'!AV74="Yes",", Art","")&amp;IF('Visit Log'!AW74="Yes",", Construction","")&amp;IF('Visit Log'!AX74="Yes",", Costumes","")&amp;IF('Visit Log'!AY74="Yes",", Craft Service","")&amp;IF('Visit Log'!AZ74="Yes",", Electrical","")&amp;IF('Visit Log'!BA74="Yes",", Greens","")&amp;IF('Visit Log'!BB74="Yes",", Grip","")&amp;IF('Visit Log'!BC74="Yes",", Locations","")&amp;IF('Visit Log'!BD74="Yes",", Medic","")&amp;IF('Visit Log'!BE74="Yes",", Paint","")&amp;IF('Visit Log'!BF74="Yes",", Plaster","")&amp;IF('Visit Log'!BG74="Yes",", Props","")&amp;IF('Visit Log'!BH74="Yes",", Set Dec","")&amp;IF('Visit Log'!BI74="Yes",", Set Teacher","")&amp;IF('Visit Log'!BJ74="Yes",", Sound","")&amp;IF('Visit Log'!BK74="Yes",", SPFX","")&amp;IF('Visit Log'!BL74="Yes",", Video",""),3,300)))</f>
        <v/>
      </c>
      <c r="F74" s="28">
        <f>IF('Visit Log'!C74="","",'Visit Log'!T74)</f>
        <v/>
      </c>
    </row>
    <row r="75">
      <c r="A75" s="32">
        <f>IF('Visit Log'!C75="","",'Visit Log'!A75)</f>
        <v/>
      </c>
      <c r="B75" s="32">
        <f>IF('Visit Log'!C75="","",'Visit Log'!C75)</f>
        <v/>
      </c>
      <c r="C75" s="32">
        <f>IF('Visit Log'!C75="","",'Visit Log'!D75)</f>
        <v/>
      </c>
      <c r="D75" s="33">
        <f>IF('Visit Log'!C75="","",'Visit Log'!B75)</f>
        <v/>
      </c>
      <c r="E75" s="32">
        <f>IF('Visit Log'!C75="","",IF((IF('Visit Log'!AV75="Yes",", Art","")&amp;IF('Visit Log'!AW75="Yes",", Construction","")&amp;IF('Visit Log'!AX75="Yes",", Costumes","")&amp;IF('Visit Log'!AY75="Yes",", Craft Service","")&amp;IF('Visit Log'!AZ75="Yes",", Electrical","")&amp;IF('Visit Log'!BA75="Yes",", Greens","")&amp;IF('Visit Log'!BB75="Yes",", Grip","")&amp;IF('Visit Log'!BC75="Yes",", Locations","")&amp;IF('Visit Log'!BD75="Yes",", Medic","")&amp;IF('Visit Log'!BE75="Yes",", Paint","")&amp;IF('Visit Log'!BF75="Yes",", Plaster","")&amp;IF('Visit Log'!BG75="Yes",", Props","")&amp;IF('Visit Log'!BH75="Yes",", Set Dec","")&amp;IF('Visit Log'!BI75="Yes",", Set Teacher","")&amp;IF('Visit Log'!BJ75="Yes",", Sound","")&amp;IF('Visit Log'!BK75="Yes",", SPFX","")&amp;IF('Visit Log'!BL75="Yes",", Video",""))="","",MID(IF('Visit Log'!AV75="Yes",", Art","")&amp;IF('Visit Log'!AW75="Yes",", Construction","")&amp;IF('Visit Log'!AX75="Yes",", Costumes","")&amp;IF('Visit Log'!AY75="Yes",", Craft Service","")&amp;IF('Visit Log'!AZ75="Yes",", Electrical","")&amp;IF('Visit Log'!BA75="Yes",", Greens","")&amp;IF('Visit Log'!BB75="Yes",", Grip","")&amp;IF('Visit Log'!BC75="Yes",", Locations","")&amp;IF('Visit Log'!BD75="Yes",", Medic","")&amp;IF('Visit Log'!BE75="Yes",", Paint","")&amp;IF('Visit Log'!BF75="Yes",", Plaster","")&amp;IF('Visit Log'!BG75="Yes",", Props","")&amp;IF('Visit Log'!BH75="Yes",", Set Dec","")&amp;IF('Visit Log'!BI75="Yes",", Set Teacher","")&amp;IF('Visit Log'!BJ75="Yes",", Sound","")&amp;IF('Visit Log'!BK75="Yes",", SPFX","")&amp;IF('Visit Log'!BL75="Yes",", Video",""),3,300)))</f>
        <v/>
      </c>
      <c r="F75" s="32">
        <f>IF('Visit Log'!C75="","",'Visit Log'!T75)</f>
        <v/>
      </c>
    </row>
    <row r="76">
      <c r="A76" s="28">
        <f>IF('Visit Log'!C76="","",'Visit Log'!A76)</f>
        <v/>
      </c>
      <c r="B76" s="28">
        <f>IF('Visit Log'!C76="","",'Visit Log'!C76)</f>
        <v/>
      </c>
      <c r="C76" s="28">
        <f>IF('Visit Log'!C76="","",'Visit Log'!D76)</f>
        <v/>
      </c>
      <c r="D76" s="29">
        <f>IF('Visit Log'!C76="","",'Visit Log'!B76)</f>
        <v/>
      </c>
      <c r="E76" s="28">
        <f>IF('Visit Log'!C76="","",IF((IF('Visit Log'!AV76="Yes",", Art","")&amp;IF('Visit Log'!AW76="Yes",", Construction","")&amp;IF('Visit Log'!AX76="Yes",", Costumes","")&amp;IF('Visit Log'!AY76="Yes",", Craft Service","")&amp;IF('Visit Log'!AZ76="Yes",", Electrical","")&amp;IF('Visit Log'!BA76="Yes",", Greens","")&amp;IF('Visit Log'!BB76="Yes",", Grip","")&amp;IF('Visit Log'!BC76="Yes",", Locations","")&amp;IF('Visit Log'!BD76="Yes",", Medic","")&amp;IF('Visit Log'!BE76="Yes",", Paint","")&amp;IF('Visit Log'!BF76="Yes",", Plaster","")&amp;IF('Visit Log'!BG76="Yes",", Props","")&amp;IF('Visit Log'!BH76="Yes",", Set Dec","")&amp;IF('Visit Log'!BI76="Yes",", Set Teacher","")&amp;IF('Visit Log'!BJ76="Yes",", Sound","")&amp;IF('Visit Log'!BK76="Yes",", SPFX","")&amp;IF('Visit Log'!BL76="Yes",", Video",""))="","",MID(IF('Visit Log'!AV76="Yes",", Art","")&amp;IF('Visit Log'!AW76="Yes",", Construction","")&amp;IF('Visit Log'!AX76="Yes",", Costumes","")&amp;IF('Visit Log'!AY76="Yes",", Craft Service","")&amp;IF('Visit Log'!AZ76="Yes",", Electrical","")&amp;IF('Visit Log'!BA76="Yes",", Greens","")&amp;IF('Visit Log'!BB76="Yes",", Grip","")&amp;IF('Visit Log'!BC76="Yes",", Locations","")&amp;IF('Visit Log'!BD76="Yes",", Medic","")&amp;IF('Visit Log'!BE76="Yes",", Paint","")&amp;IF('Visit Log'!BF76="Yes",", Plaster","")&amp;IF('Visit Log'!BG76="Yes",", Props","")&amp;IF('Visit Log'!BH76="Yes",", Set Dec","")&amp;IF('Visit Log'!BI76="Yes",", Set Teacher","")&amp;IF('Visit Log'!BJ76="Yes",", Sound","")&amp;IF('Visit Log'!BK76="Yes",", SPFX","")&amp;IF('Visit Log'!BL76="Yes",", Video",""),3,300)))</f>
        <v/>
      </c>
      <c r="F76" s="28">
        <f>IF('Visit Log'!C76="","",'Visit Log'!T76)</f>
        <v/>
      </c>
    </row>
    <row r="77">
      <c r="A77" s="32">
        <f>IF('Visit Log'!C77="","",'Visit Log'!A77)</f>
        <v/>
      </c>
      <c r="B77" s="32">
        <f>IF('Visit Log'!C77="","",'Visit Log'!C77)</f>
        <v/>
      </c>
      <c r="C77" s="32">
        <f>IF('Visit Log'!C77="","",'Visit Log'!D77)</f>
        <v/>
      </c>
      <c r="D77" s="33">
        <f>IF('Visit Log'!C77="","",'Visit Log'!B77)</f>
        <v/>
      </c>
      <c r="E77" s="32">
        <f>IF('Visit Log'!C77="","",IF((IF('Visit Log'!AV77="Yes",", Art","")&amp;IF('Visit Log'!AW77="Yes",", Construction","")&amp;IF('Visit Log'!AX77="Yes",", Costumes","")&amp;IF('Visit Log'!AY77="Yes",", Craft Service","")&amp;IF('Visit Log'!AZ77="Yes",", Electrical","")&amp;IF('Visit Log'!BA77="Yes",", Greens","")&amp;IF('Visit Log'!BB77="Yes",", Grip","")&amp;IF('Visit Log'!BC77="Yes",", Locations","")&amp;IF('Visit Log'!BD77="Yes",", Medic","")&amp;IF('Visit Log'!BE77="Yes",", Paint","")&amp;IF('Visit Log'!BF77="Yes",", Plaster","")&amp;IF('Visit Log'!BG77="Yes",", Props","")&amp;IF('Visit Log'!BH77="Yes",", Set Dec","")&amp;IF('Visit Log'!BI77="Yes",", Set Teacher","")&amp;IF('Visit Log'!BJ77="Yes",", Sound","")&amp;IF('Visit Log'!BK77="Yes",", SPFX","")&amp;IF('Visit Log'!BL77="Yes",", Video",""))="","",MID(IF('Visit Log'!AV77="Yes",", Art","")&amp;IF('Visit Log'!AW77="Yes",", Construction","")&amp;IF('Visit Log'!AX77="Yes",", Costumes","")&amp;IF('Visit Log'!AY77="Yes",", Craft Service","")&amp;IF('Visit Log'!AZ77="Yes",", Electrical","")&amp;IF('Visit Log'!BA77="Yes",", Greens","")&amp;IF('Visit Log'!BB77="Yes",", Grip","")&amp;IF('Visit Log'!BC77="Yes",", Locations","")&amp;IF('Visit Log'!BD77="Yes",", Medic","")&amp;IF('Visit Log'!BE77="Yes",", Paint","")&amp;IF('Visit Log'!BF77="Yes",", Plaster","")&amp;IF('Visit Log'!BG77="Yes",", Props","")&amp;IF('Visit Log'!BH77="Yes",", Set Dec","")&amp;IF('Visit Log'!BI77="Yes",", Set Teacher","")&amp;IF('Visit Log'!BJ77="Yes",", Sound","")&amp;IF('Visit Log'!BK77="Yes",", SPFX","")&amp;IF('Visit Log'!BL77="Yes",", Video",""),3,300)))</f>
        <v/>
      </c>
      <c r="F77" s="32">
        <f>IF('Visit Log'!C77="","",'Visit Log'!T77)</f>
        <v/>
      </c>
    </row>
    <row r="78">
      <c r="A78" s="28">
        <f>IF('Visit Log'!C78="","",'Visit Log'!A78)</f>
        <v/>
      </c>
      <c r="B78" s="28">
        <f>IF('Visit Log'!C78="","",'Visit Log'!C78)</f>
        <v/>
      </c>
      <c r="C78" s="28">
        <f>IF('Visit Log'!C78="","",'Visit Log'!D78)</f>
        <v/>
      </c>
      <c r="D78" s="29">
        <f>IF('Visit Log'!C78="","",'Visit Log'!B78)</f>
        <v/>
      </c>
      <c r="E78" s="28">
        <f>IF('Visit Log'!C78="","",IF((IF('Visit Log'!AV78="Yes",", Art","")&amp;IF('Visit Log'!AW78="Yes",", Construction","")&amp;IF('Visit Log'!AX78="Yes",", Costumes","")&amp;IF('Visit Log'!AY78="Yes",", Craft Service","")&amp;IF('Visit Log'!AZ78="Yes",", Electrical","")&amp;IF('Visit Log'!BA78="Yes",", Greens","")&amp;IF('Visit Log'!BB78="Yes",", Grip","")&amp;IF('Visit Log'!BC78="Yes",", Locations","")&amp;IF('Visit Log'!BD78="Yes",", Medic","")&amp;IF('Visit Log'!BE78="Yes",", Paint","")&amp;IF('Visit Log'!BF78="Yes",", Plaster","")&amp;IF('Visit Log'!BG78="Yes",", Props","")&amp;IF('Visit Log'!BH78="Yes",", Set Dec","")&amp;IF('Visit Log'!BI78="Yes",", Set Teacher","")&amp;IF('Visit Log'!BJ78="Yes",", Sound","")&amp;IF('Visit Log'!BK78="Yes",", SPFX","")&amp;IF('Visit Log'!BL78="Yes",", Video",""))="","",MID(IF('Visit Log'!AV78="Yes",", Art","")&amp;IF('Visit Log'!AW78="Yes",", Construction","")&amp;IF('Visit Log'!AX78="Yes",", Costumes","")&amp;IF('Visit Log'!AY78="Yes",", Craft Service","")&amp;IF('Visit Log'!AZ78="Yes",", Electrical","")&amp;IF('Visit Log'!BA78="Yes",", Greens","")&amp;IF('Visit Log'!BB78="Yes",", Grip","")&amp;IF('Visit Log'!BC78="Yes",", Locations","")&amp;IF('Visit Log'!BD78="Yes",", Medic","")&amp;IF('Visit Log'!BE78="Yes",", Paint","")&amp;IF('Visit Log'!BF78="Yes",", Plaster","")&amp;IF('Visit Log'!BG78="Yes",", Props","")&amp;IF('Visit Log'!BH78="Yes",", Set Dec","")&amp;IF('Visit Log'!BI78="Yes",", Set Teacher","")&amp;IF('Visit Log'!BJ78="Yes",", Sound","")&amp;IF('Visit Log'!BK78="Yes",", SPFX","")&amp;IF('Visit Log'!BL78="Yes",", Video",""),3,300)))</f>
        <v/>
      </c>
      <c r="F78" s="28">
        <f>IF('Visit Log'!C78="","",'Visit Log'!T78)</f>
        <v/>
      </c>
    </row>
    <row r="79">
      <c r="A79" s="32">
        <f>IF('Visit Log'!C79="","",'Visit Log'!A79)</f>
        <v/>
      </c>
      <c r="B79" s="32">
        <f>IF('Visit Log'!C79="","",'Visit Log'!C79)</f>
        <v/>
      </c>
      <c r="C79" s="32">
        <f>IF('Visit Log'!C79="","",'Visit Log'!D79)</f>
        <v/>
      </c>
      <c r="D79" s="33">
        <f>IF('Visit Log'!C79="","",'Visit Log'!B79)</f>
        <v/>
      </c>
      <c r="E79" s="32">
        <f>IF('Visit Log'!C79="","",IF((IF('Visit Log'!AV79="Yes",", Art","")&amp;IF('Visit Log'!AW79="Yes",", Construction","")&amp;IF('Visit Log'!AX79="Yes",", Costumes","")&amp;IF('Visit Log'!AY79="Yes",", Craft Service","")&amp;IF('Visit Log'!AZ79="Yes",", Electrical","")&amp;IF('Visit Log'!BA79="Yes",", Greens","")&amp;IF('Visit Log'!BB79="Yes",", Grip","")&amp;IF('Visit Log'!BC79="Yes",", Locations","")&amp;IF('Visit Log'!BD79="Yes",", Medic","")&amp;IF('Visit Log'!BE79="Yes",", Paint","")&amp;IF('Visit Log'!BF79="Yes",", Plaster","")&amp;IF('Visit Log'!BG79="Yes",", Props","")&amp;IF('Visit Log'!BH79="Yes",", Set Dec","")&amp;IF('Visit Log'!BI79="Yes",", Set Teacher","")&amp;IF('Visit Log'!BJ79="Yes",", Sound","")&amp;IF('Visit Log'!BK79="Yes",", SPFX","")&amp;IF('Visit Log'!BL79="Yes",", Video",""))="","",MID(IF('Visit Log'!AV79="Yes",", Art","")&amp;IF('Visit Log'!AW79="Yes",", Construction","")&amp;IF('Visit Log'!AX79="Yes",", Costumes","")&amp;IF('Visit Log'!AY79="Yes",", Craft Service","")&amp;IF('Visit Log'!AZ79="Yes",", Electrical","")&amp;IF('Visit Log'!BA79="Yes",", Greens","")&amp;IF('Visit Log'!BB79="Yes",", Grip","")&amp;IF('Visit Log'!BC79="Yes",", Locations","")&amp;IF('Visit Log'!BD79="Yes",", Medic","")&amp;IF('Visit Log'!BE79="Yes",", Paint","")&amp;IF('Visit Log'!BF79="Yes",", Plaster","")&amp;IF('Visit Log'!BG79="Yes",", Props","")&amp;IF('Visit Log'!BH79="Yes",", Set Dec","")&amp;IF('Visit Log'!BI79="Yes",", Set Teacher","")&amp;IF('Visit Log'!BJ79="Yes",", Sound","")&amp;IF('Visit Log'!BK79="Yes",", SPFX","")&amp;IF('Visit Log'!BL79="Yes",", Video",""),3,300)))</f>
        <v/>
      </c>
      <c r="F79" s="32">
        <f>IF('Visit Log'!C79="","",'Visit Log'!T79)</f>
        <v/>
      </c>
    </row>
    <row r="80">
      <c r="A80" s="28">
        <f>IF('Visit Log'!C80="","",'Visit Log'!A80)</f>
        <v/>
      </c>
      <c r="B80" s="28">
        <f>IF('Visit Log'!C80="","",'Visit Log'!C80)</f>
        <v/>
      </c>
      <c r="C80" s="28">
        <f>IF('Visit Log'!C80="","",'Visit Log'!D80)</f>
        <v/>
      </c>
      <c r="D80" s="29">
        <f>IF('Visit Log'!C80="","",'Visit Log'!B80)</f>
        <v/>
      </c>
      <c r="E80" s="28">
        <f>IF('Visit Log'!C80="","",IF((IF('Visit Log'!AV80="Yes",", Art","")&amp;IF('Visit Log'!AW80="Yes",", Construction","")&amp;IF('Visit Log'!AX80="Yes",", Costumes","")&amp;IF('Visit Log'!AY80="Yes",", Craft Service","")&amp;IF('Visit Log'!AZ80="Yes",", Electrical","")&amp;IF('Visit Log'!BA80="Yes",", Greens","")&amp;IF('Visit Log'!BB80="Yes",", Grip","")&amp;IF('Visit Log'!BC80="Yes",", Locations","")&amp;IF('Visit Log'!BD80="Yes",", Medic","")&amp;IF('Visit Log'!BE80="Yes",", Paint","")&amp;IF('Visit Log'!BF80="Yes",", Plaster","")&amp;IF('Visit Log'!BG80="Yes",", Props","")&amp;IF('Visit Log'!BH80="Yes",", Set Dec","")&amp;IF('Visit Log'!BI80="Yes",", Set Teacher","")&amp;IF('Visit Log'!BJ80="Yes",", Sound","")&amp;IF('Visit Log'!BK80="Yes",", SPFX","")&amp;IF('Visit Log'!BL80="Yes",", Video",""))="","",MID(IF('Visit Log'!AV80="Yes",", Art","")&amp;IF('Visit Log'!AW80="Yes",", Construction","")&amp;IF('Visit Log'!AX80="Yes",", Costumes","")&amp;IF('Visit Log'!AY80="Yes",", Craft Service","")&amp;IF('Visit Log'!AZ80="Yes",", Electrical","")&amp;IF('Visit Log'!BA80="Yes",", Greens","")&amp;IF('Visit Log'!BB80="Yes",", Grip","")&amp;IF('Visit Log'!BC80="Yes",", Locations","")&amp;IF('Visit Log'!BD80="Yes",", Medic","")&amp;IF('Visit Log'!BE80="Yes",", Paint","")&amp;IF('Visit Log'!BF80="Yes",", Plaster","")&amp;IF('Visit Log'!BG80="Yes",", Props","")&amp;IF('Visit Log'!BH80="Yes",", Set Dec","")&amp;IF('Visit Log'!BI80="Yes",", Set Teacher","")&amp;IF('Visit Log'!BJ80="Yes",", Sound","")&amp;IF('Visit Log'!BK80="Yes",", SPFX","")&amp;IF('Visit Log'!BL80="Yes",", Video",""),3,300)))</f>
        <v/>
      </c>
      <c r="F80" s="28">
        <f>IF('Visit Log'!C80="","",'Visit Log'!T80)</f>
        <v/>
      </c>
    </row>
    <row r="81">
      <c r="A81" s="32">
        <f>IF('Visit Log'!C81="","",'Visit Log'!A81)</f>
        <v/>
      </c>
      <c r="B81" s="32">
        <f>IF('Visit Log'!C81="","",'Visit Log'!C81)</f>
        <v/>
      </c>
      <c r="C81" s="32">
        <f>IF('Visit Log'!C81="","",'Visit Log'!D81)</f>
        <v/>
      </c>
      <c r="D81" s="33">
        <f>IF('Visit Log'!C81="","",'Visit Log'!B81)</f>
        <v/>
      </c>
      <c r="E81" s="32">
        <f>IF('Visit Log'!C81="","",IF((IF('Visit Log'!AV81="Yes",", Art","")&amp;IF('Visit Log'!AW81="Yes",", Construction","")&amp;IF('Visit Log'!AX81="Yes",", Costumes","")&amp;IF('Visit Log'!AY81="Yes",", Craft Service","")&amp;IF('Visit Log'!AZ81="Yes",", Electrical","")&amp;IF('Visit Log'!BA81="Yes",", Greens","")&amp;IF('Visit Log'!BB81="Yes",", Grip","")&amp;IF('Visit Log'!BC81="Yes",", Locations","")&amp;IF('Visit Log'!BD81="Yes",", Medic","")&amp;IF('Visit Log'!BE81="Yes",", Paint","")&amp;IF('Visit Log'!BF81="Yes",", Plaster","")&amp;IF('Visit Log'!BG81="Yes",", Props","")&amp;IF('Visit Log'!BH81="Yes",", Set Dec","")&amp;IF('Visit Log'!BI81="Yes",", Set Teacher","")&amp;IF('Visit Log'!BJ81="Yes",", Sound","")&amp;IF('Visit Log'!BK81="Yes",", SPFX","")&amp;IF('Visit Log'!BL81="Yes",", Video",""))="","",MID(IF('Visit Log'!AV81="Yes",", Art","")&amp;IF('Visit Log'!AW81="Yes",", Construction","")&amp;IF('Visit Log'!AX81="Yes",", Costumes","")&amp;IF('Visit Log'!AY81="Yes",", Craft Service","")&amp;IF('Visit Log'!AZ81="Yes",", Electrical","")&amp;IF('Visit Log'!BA81="Yes",", Greens","")&amp;IF('Visit Log'!BB81="Yes",", Grip","")&amp;IF('Visit Log'!BC81="Yes",", Locations","")&amp;IF('Visit Log'!BD81="Yes",", Medic","")&amp;IF('Visit Log'!BE81="Yes",", Paint","")&amp;IF('Visit Log'!BF81="Yes",", Plaster","")&amp;IF('Visit Log'!BG81="Yes",", Props","")&amp;IF('Visit Log'!BH81="Yes",", Set Dec","")&amp;IF('Visit Log'!BI81="Yes",", Set Teacher","")&amp;IF('Visit Log'!BJ81="Yes",", Sound","")&amp;IF('Visit Log'!BK81="Yes",", SPFX","")&amp;IF('Visit Log'!BL81="Yes",", Video",""),3,300)))</f>
        <v/>
      </c>
      <c r="F81" s="32">
        <f>IF('Visit Log'!C81="","",'Visit Log'!T81)</f>
        <v/>
      </c>
    </row>
    <row r="82">
      <c r="A82" s="28">
        <f>IF('Visit Log'!C82="","",'Visit Log'!A82)</f>
        <v/>
      </c>
      <c r="B82" s="28">
        <f>IF('Visit Log'!C82="","",'Visit Log'!C82)</f>
        <v/>
      </c>
      <c r="C82" s="28">
        <f>IF('Visit Log'!C82="","",'Visit Log'!D82)</f>
        <v/>
      </c>
      <c r="D82" s="29">
        <f>IF('Visit Log'!C82="","",'Visit Log'!B82)</f>
        <v/>
      </c>
      <c r="E82" s="28">
        <f>IF('Visit Log'!C82="","",IF((IF('Visit Log'!AV82="Yes",", Art","")&amp;IF('Visit Log'!AW82="Yes",", Construction","")&amp;IF('Visit Log'!AX82="Yes",", Costumes","")&amp;IF('Visit Log'!AY82="Yes",", Craft Service","")&amp;IF('Visit Log'!AZ82="Yes",", Electrical","")&amp;IF('Visit Log'!BA82="Yes",", Greens","")&amp;IF('Visit Log'!BB82="Yes",", Grip","")&amp;IF('Visit Log'!BC82="Yes",", Locations","")&amp;IF('Visit Log'!BD82="Yes",", Medic","")&amp;IF('Visit Log'!BE82="Yes",", Paint","")&amp;IF('Visit Log'!BF82="Yes",", Plaster","")&amp;IF('Visit Log'!BG82="Yes",", Props","")&amp;IF('Visit Log'!BH82="Yes",", Set Dec","")&amp;IF('Visit Log'!BI82="Yes",", Set Teacher","")&amp;IF('Visit Log'!BJ82="Yes",", Sound","")&amp;IF('Visit Log'!BK82="Yes",", SPFX","")&amp;IF('Visit Log'!BL82="Yes",", Video",""))="","",MID(IF('Visit Log'!AV82="Yes",", Art","")&amp;IF('Visit Log'!AW82="Yes",", Construction","")&amp;IF('Visit Log'!AX82="Yes",", Costumes","")&amp;IF('Visit Log'!AY82="Yes",", Craft Service","")&amp;IF('Visit Log'!AZ82="Yes",", Electrical","")&amp;IF('Visit Log'!BA82="Yes",", Greens","")&amp;IF('Visit Log'!BB82="Yes",", Grip","")&amp;IF('Visit Log'!BC82="Yes",", Locations","")&amp;IF('Visit Log'!BD82="Yes",", Medic","")&amp;IF('Visit Log'!BE82="Yes",", Paint","")&amp;IF('Visit Log'!BF82="Yes",", Plaster","")&amp;IF('Visit Log'!BG82="Yes",", Props","")&amp;IF('Visit Log'!BH82="Yes",", Set Dec","")&amp;IF('Visit Log'!BI82="Yes",", Set Teacher","")&amp;IF('Visit Log'!BJ82="Yes",", Sound","")&amp;IF('Visit Log'!BK82="Yes",", SPFX","")&amp;IF('Visit Log'!BL82="Yes",", Video",""),3,300)))</f>
        <v/>
      </c>
      <c r="F82" s="28">
        <f>IF('Visit Log'!C82="","",'Visit Log'!T82)</f>
        <v/>
      </c>
    </row>
    <row r="83">
      <c r="A83" s="32">
        <f>IF('Visit Log'!C83="","",'Visit Log'!A83)</f>
        <v/>
      </c>
      <c r="B83" s="32">
        <f>IF('Visit Log'!C83="","",'Visit Log'!C83)</f>
        <v/>
      </c>
      <c r="C83" s="32">
        <f>IF('Visit Log'!C83="","",'Visit Log'!D83)</f>
        <v/>
      </c>
      <c r="D83" s="33">
        <f>IF('Visit Log'!C83="","",'Visit Log'!B83)</f>
        <v/>
      </c>
      <c r="E83" s="32">
        <f>IF('Visit Log'!C83="","",IF((IF('Visit Log'!AV83="Yes",", Art","")&amp;IF('Visit Log'!AW83="Yes",", Construction","")&amp;IF('Visit Log'!AX83="Yes",", Costumes","")&amp;IF('Visit Log'!AY83="Yes",", Craft Service","")&amp;IF('Visit Log'!AZ83="Yes",", Electrical","")&amp;IF('Visit Log'!BA83="Yes",", Greens","")&amp;IF('Visit Log'!BB83="Yes",", Grip","")&amp;IF('Visit Log'!BC83="Yes",", Locations","")&amp;IF('Visit Log'!BD83="Yes",", Medic","")&amp;IF('Visit Log'!BE83="Yes",", Paint","")&amp;IF('Visit Log'!BF83="Yes",", Plaster","")&amp;IF('Visit Log'!BG83="Yes",", Props","")&amp;IF('Visit Log'!BH83="Yes",", Set Dec","")&amp;IF('Visit Log'!BI83="Yes",", Set Teacher","")&amp;IF('Visit Log'!BJ83="Yes",", Sound","")&amp;IF('Visit Log'!BK83="Yes",", SPFX","")&amp;IF('Visit Log'!BL83="Yes",", Video",""))="","",MID(IF('Visit Log'!AV83="Yes",", Art","")&amp;IF('Visit Log'!AW83="Yes",", Construction","")&amp;IF('Visit Log'!AX83="Yes",", Costumes","")&amp;IF('Visit Log'!AY83="Yes",", Craft Service","")&amp;IF('Visit Log'!AZ83="Yes",", Electrical","")&amp;IF('Visit Log'!BA83="Yes",", Greens","")&amp;IF('Visit Log'!BB83="Yes",", Grip","")&amp;IF('Visit Log'!BC83="Yes",", Locations","")&amp;IF('Visit Log'!BD83="Yes",", Medic","")&amp;IF('Visit Log'!BE83="Yes",", Paint","")&amp;IF('Visit Log'!BF83="Yes",", Plaster","")&amp;IF('Visit Log'!BG83="Yes",", Props","")&amp;IF('Visit Log'!BH83="Yes",", Set Dec","")&amp;IF('Visit Log'!BI83="Yes",", Set Teacher","")&amp;IF('Visit Log'!BJ83="Yes",", Sound","")&amp;IF('Visit Log'!BK83="Yes",", SPFX","")&amp;IF('Visit Log'!BL83="Yes",", Video",""),3,300)))</f>
        <v/>
      </c>
      <c r="F83" s="32">
        <f>IF('Visit Log'!C83="","",'Visit Log'!T83)</f>
        <v/>
      </c>
    </row>
    <row r="84">
      <c r="A84" s="28">
        <f>IF('Visit Log'!C84="","",'Visit Log'!A84)</f>
        <v/>
      </c>
      <c r="B84" s="28">
        <f>IF('Visit Log'!C84="","",'Visit Log'!C84)</f>
        <v/>
      </c>
      <c r="C84" s="28">
        <f>IF('Visit Log'!C84="","",'Visit Log'!D84)</f>
        <v/>
      </c>
      <c r="D84" s="29">
        <f>IF('Visit Log'!C84="","",'Visit Log'!B84)</f>
        <v/>
      </c>
      <c r="E84" s="28">
        <f>IF('Visit Log'!C84="","",IF((IF('Visit Log'!AV84="Yes",", Art","")&amp;IF('Visit Log'!AW84="Yes",", Construction","")&amp;IF('Visit Log'!AX84="Yes",", Costumes","")&amp;IF('Visit Log'!AY84="Yes",", Craft Service","")&amp;IF('Visit Log'!AZ84="Yes",", Electrical","")&amp;IF('Visit Log'!BA84="Yes",", Greens","")&amp;IF('Visit Log'!BB84="Yes",", Grip","")&amp;IF('Visit Log'!BC84="Yes",", Locations","")&amp;IF('Visit Log'!BD84="Yes",", Medic","")&amp;IF('Visit Log'!BE84="Yes",", Paint","")&amp;IF('Visit Log'!BF84="Yes",", Plaster","")&amp;IF('Visit Log'!BG84="Yes",", Props","")&amp;IF('Visit Log'!BH84="Yes",", Set Dec","")&amp;IF('Visit Log'!BI84="Yes",", Set Teacher","")&amp;IF('Visit Log'!BJ84="Yes",", Sound","")&amp;IF('Visit Log'!BK84="Yes",", SPFX","")&amp;IF('Visit Log'!BL84="Yes",", Video",""))="","",MID(IF('Visit Log'!AV84="Yes",", Art","")&amp;IF('Visit Log'!AW84="Yes",", Construction","")&amp;IF('Visit Log'!AX84="Yes",", Costumes","")&amp;IF('Visit Log'!AY84="Yes",", Craft Service","")&amp;IF('Visit Log'!AZ84="Yes",", Electrical","")&amp;IF('Visit Log'!BA84="Yes",", Greens","")&amp;IF('Visit Log'!BB84="Yes",", Grip","")&amp;IF('Visit Log'!BC84="Yes",", Locations","")&amp;IF('Visit Log'!BD84="Yes",", Medic","")&amp;IF('Visit Log'!BE84="Yes",", Paint","")&amp;IF('Visit Log'!BF84="Yes",", Plaster","")&amp;IF('Visit Log'!BG84="Yes",", Props","")&amp;IF('Visit Log'!BH84="Yes",", Set Dec","")&amp;IF('Visit Log'!BI84="Yes",", Set Teacher","")&amp;IF('Visit Log'!BJ84="Yes",", Sound","")&amp;IF('Visit Log'!BK84="Yes",", SPFX","")&amp;IF('Visit Log'!BL84="Yes",", Video",""),3,300)))</f>
        <v/>
      </c>
      <c r="F84" s="28">
        <f>IF('Visit Log'!C84="","",'Visit Log'!T84)</f>
        <v/>
      </c>
    </row>
    <row r="85">
      <c r="A85" s="32">
        <f>IF('Visit Log'!C85="","",'Visit Log'!A85)</f>
        <v/>
      </c>
      <c r="B85" s="32">
        <f>IF('Visit Log'!C85="","",'Visit Log'!C85)</f>
        <v/>
      </c>
      <c r="C85" s="32">
        <f>IF('Visit Log'!C85="","",'Visit Log'!D85)</f>
        <v/>
      </c>
      <c r="D85" s="33">
        <f>IF('Visit Log'!C85="","",'Visit Log'!B85)</f>
        <v/>
      </c>
      <c r="E85" s="32">
        <f>IF('Visit Log'!C85="","",IF((IF('Visit Log'!AV85="Yes",", Art","")&amp;IF('Visit Log'!AW85="Yes",", Construction","")&amp;IF('Visit Log'!AX85="Yes",", Costumes","")&amp;IF('Visit Log'!AY85="Yes",", Craft Service","")&amp;IF('Visit Log'!AZ85="Yes",", Electrical","")&amp;IF('Visit Log'!BA85="Yes",", Greens","")&amp;IF('Visit Log'!BB85="Yes",", Grip","")&amp;IF('Visit Log'!BC85="Yes",", Locations","")&amp;IF('Visit Log'!BD85="Yes",", Medic","")&amp;IF('Visit Log'!BE85="Yes",", Paint","")&amp;IF('Visit Log'!BF85="Yes",", Plaster","")&amp;IF('Visit Log'!BG85="Yes",", Props","")&amp;IF('Visit Log'!BH85="Yes",", Set Dec","")&amp;IF('Visit Log'!BI85="Yes",", Set Teacher","")&amp;IF('Visit Log'!BJ85="Yes",", Sound","")&amp;IF('Visit Log'!BK85="Yes",", SPFX","")&amp;IF('Visit Log'!BL85="Yes",", Video",""))="","",MID(IF('Visit Log'!AV85="Yes",", Art","")&amp;IF('Visit Log'!AW85="Yes",", Construction","")&amp;IF('Visit Log'!AX85="Yes",", Costumes","")&amp;IF('Visit Log'!AY85="Yes",", Craft Service","")&amp;IF('Visit Log'!AZ85="Yes",", Electrical","")&amp;IF('Visit Log'!BA85="Yes",", Greens","")&amp;IF('Visit Log'!BB85="Yes",", Grip","")&amp;IF('Visit Log'!BC85="Yes",", Locations","")&amp;IF('Visit Log'!BD85="Yes",", Medic","")&amp;IF('Visit Log'!BE85="Yes",", Paint","")&amp;IF('Visit Log'!BF85="Yes",", Plaster","")&amp;IF('Visit Log'!BG85="Yes",", Props","")&amp;IF('Visit Log'!BH85="Yes",", Set Dec","")&amp;IF('Visit Log'!BI85="Yes",", Set Teacher","")&amp;IF('Visit Log'!BJ85="Yes",", Sound","")&amp;IF('Visit Log'!BK85="Yes",", SPFX","")&amp;IF('Visit Log'!BL85="Yes",", Video",""),3,300)))</f>
        <v/>
      </c>
      <c r="F85" s="32">
        <f>IF('Visit Log'!C85="","",'Visit Log'!T85)</f>
        <v/>
      </c>
    </row>
    <row r="86">
      <c r="A86" s="28">
        <f>IF('Visit Log'!C86="","",'Visit Log'!A86)</f>
        <v/>
      </c>
      <c r="B86" s="28">
        <f>IF('Visit Log'!C86="","",'Visit Log'!C86)</f>
        <v/>
      </c>
      <c r="C86" s="28">
        <f>IF('Visit Log'!C86="","",'Visit Log'!D86)</f>
        <v/>
      </c>
      <c r="D86" s="29">
        <f>IF('Visit Log'!C86="","",'Visit Log'!B86)</f>
        <v/>
      </c>
      <c r="E86" s="28">
        <f>IF('Visit Log'!C86="","",IF((IF('Visit Log'!AV86="Yes",", Art","")&amp;IF('Visit Log'!AW86="Yes",", Construction","")&amp;IF('Visit Log'!AX86="Yes",", Costumes","")&amp;IF('Visit Log'!AY86="Yes",", Craft Service","")&amp;IF('Visit Log'!AZ86="Yes",", Electrical","")&amp;IF('Visit Log'!BA86="Yes",", Greens","")&amp;IF('Visit Log'!BB86="Yes",", Grip","")&amp;IF('Visit Log'!BC86="Yes",", Locations","")&amp;IF('Visit Log'!BD86="Yes",", Medic","")&amp;IF('Visit Log'!BE86="Yes",", Paint","")&amp;IF('Visit Log'!BF86="Yes",", Plaster","")&amp;IF('Visit Log'!BG86="Yes",", Props","")&amp;IF('Visit Log'!BH86="Yes",", Set Dec","")&amp;IF('Visit Log'!BI86="Yes",", Set Teacher","")&amp;IF('Visit Log'!BJ86="Yes",", Sound","")&amp;IF('Visit Log'!BK86="Yes",", SPFX","")&amp;IF('Visit Log'!BL86="Yes",", Video",""))="","",MID(IF('Visit Log'!AV86="Yes",", Art","")&amp;IF('Visit Log'!AW86="Yes",", Construction","")&amp;IF('Visit Log'!AX86="Yes",", Costumes","")&amp;IF('Visit Log'!AY86="Yes",", Craft Service","")&amp;IF('Visit Log'!AZ86="Yes",", Electrical","")&amp;IF('Visit Log'!BA86="Yes",", Greens","")&amp;IF('Visit Log'!BB86="Yes",", Grip","")&amp;IF('Visit Log'!BC86="Yes",", Locations","")&amp;IF('Visit Log'!BD86="Yes",", Medic","")&amp;IF('Visit Log'!BE86="Yes",", Paint","")&amp;IF('Visit Log'!BF86="Yes",", Plaster","")&amp;IF('Visit Log'!BG86="Yes",", Props","")&amp;IF('Visit Log'!BH86="Yes",", Set Dec","")&amp;IF('Visit Log'!BI86="Yes",", Set Teacher","")&amp;IF('Visit Log'!BJ86="Yes",", Sound","")&amp;IF('Visit Log'!BK86="Yes",", SPFX","")&amp;IF('Visit Log'!BL86="Yes",", Video",""),3,300)))</f>
        <v/>
      </c>
      <c r="F86" s="28">
        <f>IF('Visit Log'!C86="","",'Visit Log'!T86)</f>
        <v/>
      </c>
    </row>
    <row r="87">
      <c r="A87" s="32">
        <f>IF('Visit Log'!C87="","",'Visit Log'!A87)</f>
        <v/>
      </c>
      <c r="B87" s="32">
        <f>IF('Visit Log'!C87="","",'Visit Log'!C87)</f>
        <v/>
      </c>
      <c r="C87" s="32">
        <f>IF('Visit Log'!C87="","",'Visit Log'!D87)</f>
        <v/>
      </c>
      <c r="D87" s="33">
        <f>IF('Visit Log'!C87="","",'Visit Log'!B87)</f>
        <v/>
      </c>
      <c r="E87" s="32">
        <f>IF('Visit Log'!C87="","",IF((IF('Visit Log'!AV87="Yes",", Art","")&amp;IF('Visit Log'!AW87="Yes",", Construction","")&amp;IF('Visit Log'!AX87="Yes",", Costumes","")&amp;IF('Visit Log'!AY87="Yes",", Craft Service","")&amp;IF('Visit Log'!AZ87="Yes",", Electrical","")&amp;IF('Visit Log'!BA87="Yes",", Greens","")&amp;IF('Visit Log'!BB87="Yes",", Grip","")&amp;IF('Visit Log'!BC87="Yes",", Locations","")&amp;IF('Visit Log'!BD87="Yes",", Medic","")&amp;IF('Visit Log'!BE87="Yes",", Paint","")&amp;IF('Visit Log'!BF87="Yes",", Plaster","")&amp;IF('Visit Log'!BG87="Yes",", Props","")&amp;IF('Visit Log'!BH87="Yes",", Set Dec","")&amp;IF('Visit Log'!BI87="Yes",", Set Teacher","")&amp;IF('Visit Log'!BJ87="Yes",", Sound","")&amp;IF('Visit Log'!BK87="Yes",", SPFX","")&amp;IF('Visit Log'!BL87="Yes",", Video",""))="","",MID(IF('Visit Log'!AV87="Yes",", Art","")&amp;IF('Visit Log'!AW87="Yes",", Construction","")&amp;IF('Visit Log'!AX87="Yes",", Costumes","")&amp;IF('Visit Log'!AY87="Yes",", Craft Service","")&amp;IF('Visit Log'!AZ87="Yes",", Electrical","")&amp;IF('Visit Log'!BA87="Yes",", Greens","")&amp;IF('Visit Log'!BB87="Yes",", Grip","")&amp;IF('Visit Log'!BC87="Yes",", Locations","")&amp;IF('Visit Log'!BD87="Yes",", Medic","")&amp;IF('Visit Log'!BE87="Yes",", Paint","")&amp;IF('Visit Log'!BF87="Yes",", Plaster","")&amp;IF('Visit Log'!BG87="Yes",", Props","")&amp;IF('Visit Log'!BH87="Yes",", Set Dec","")&amp;IF('Visit Log'!BI87="Yes",", Set Teacher","")&amp;IF('Visit Log'!BJ87="Yes",", Sound","")&amp;IF('Visit Log'!BK87="Yes",", SPFX","")&amp;IF('Visit Log'!BL87="Yes",", Video",""),3,300)))</f>
        <v/>
      </c>
      <c r="F87" s="32">
        <f>IF('Visit Log'!C87="","",'Visit Log'!T87)</f>
        <v/>
      </c>
    </row>
    <row r="88">
      <c r="A88" s="28">
        <f>IF('Visit Log'!C88="","",'Visit Log'!A88)</f>
        <v/>
      </c>
      <c r="B88" s="28">
        <f>IF('Visit Log'!C88="","",'Visit Log'!C88)</f>
        <v/>
      </c>
      <c r="C88" s="28">
        <f>IF('Visit Log'!C88="","",'Visit Log'!D88)</f>
        <v/>
      </c>
      <c r="D88" s="29">
        <f>IF('Visit Log'!C88="","",'Visit Log'!B88)</f>
        <v/>
      </c>
      <c r="E88" s="28">
        <f>IF('Visit Log'!C88="","",IF((IF('Visit Log'!AV88="Yes",", Art","")&amp;IF('Visit Log'!AW88="Yes",", Construction","")&amp;IF('Visit Log'!AX88="Yes",", Costumes","")&amp;IF('Visit Log'!AY88="Yes",", Craft Service","")&amp;IF('Visit Log'!AZ88="Yes",", Electrical","")&amp;IF('Visit Log'!BA88="Yes",", Greens","")&amp;IF('Visit Log'!BB88="Yes",", Grip","")&amp;IF('Visit Log'!BC88="Yes",", Locations","")&amp;IF('Visit Log'!BD88="Yes",", Medic","")&amp;IF('Visit Log'!BE88="Yes",", Paint","")&amp;IF('Visit Log'!BF88="Yes",", Plaster","")&amp;IF('Visit Log'!BG88="Yes",", Props","")&amp;IF('Visit Log'!BH88="Yes",", Set Dec","")&amp;IF('Visit Log'!BI88="Yes",", Set Teacher","")&amp;IF('Visit Log'!BJ88="Yes",", Sound","")&amp;IF('Visit Log'!BK88="Yes",", SPFX","")&amp;IF('Visit Log'!BL88="Yes",", Video",""))="","",MID(IF('Visit Log'!AV88="Yes",", Art","")&amp;IF('Visit Log'!AW88="Yes",", Construction","")&amp;IF('Visit Log'!AX88="Yes",", Costumes","")&amp;IF('Visit Log'!AY88="Yes",", Craft Service","")&amp;IF('Visit Log'!AZ88="Yes",", Electrical","")&amp;IF('Visit Log'!BA88="Yes",", Greens","")&amp;IF('Visit Log'!BB88="Yes",", Grip","")&amp;IF('Visit Log'!BC88="Yes",", Locations","")&amp;IF('Visit Log'!BD88="Yes",", Medic","")&amp;IF('Visit Log'!BE88="Yes",", Paint","")&amp;IF('Visit Log'!BF88="Yes",", Plaster","")&amp;IF('Visit Log'!BG88="Yes",", Props","")&amp;IF('Visit Log'!BH88="Yes",", Set Dec","")&amp;IF('Visit Log'!BI88="Yes",", Set Teacher","")&amp;IF('Visit Log'!BJ88="Yes",", Sound","")&amp;IF('Visit Log'!BK88="Yes",", SPFX","")&amp;IF('Visit Log'!BL88="Yes",", Video",""),3,300)))</f>
        <v/>
      </c>
      <c r="F88" s="28">
        <f>IF('Visit Log'!C88="","",'Visit Log'!T88)</f>
        <v/>
      </c>
    </row>
    <row r="89">
      <c r="A89" s="32">
        <f>IF('Visit Log'!C89="","",'Visit Log'!A89)</f>
        <v/>
      </c>
      <c r="B89" s="32">
        <f>IF('Visit Log'!C89="","",'Visit Log'!C89)</f>
        <v/>
      </c>
      <c r="C89" s="32">
        <f>IF('Visit Log'!C89="","",'Visit Log'!D89)</f>
        <v/>
      </c>
      <c r="D89" s="33">
        <f>IF('Visit Log'!C89="","",'Visit Log'!B89)</f>
        <v/>
      </c>
      <c r="E89" s="32">
        <f>IF('Visit Log'!C89="","",IF((IF('Visit Log'!AV89="Yes",", Art","")&amp;IF('Visit Log'!AW89="Yes",", Construction","")&amp;IF('Visit Log'!AX89="Yes",", Costumes","")&amp;IF('Visit Log'!AY89="Yes",", Craft Service","")&amp;IF('Visit Log'!AZ89="Yes",", Electrical","")&amp;IF('Visit Log'!BA89="Yes",", Greens","")&amp;IF('Visit Log'!BB89="Yes",", Grip","")&amp;IF('Visit Log'!BC89="Yes",", Locations","")&amp;IF('Visit Log'!BD89="Yes",", Medic","")&amp;IF('Visit Log'!BE89="Yes",", Paint","")&amp;IF('Visit Log'!BF89="Yes",", Plaster","")&amp;IF('Visit Log'!BG89="Yes",", Props","")&amp;IF('Visit Log'!BH89="Yes",", Set Dec","")&amp;IF('Visit Log'!BI89="Yes",", Set Teacher","")&amp;IF('Visit Log'!BJ89="Yes",", Sound","")&amp;IF('Visit Log'!BK89="Yes",", SPFX","")&amp;IF('Visit Log'!BL89="Yes",", Video",""))="","",MID(IF('Visit Log'!AV89="Yes",", Art","")&amp;IF('Visit Log'!AW89="Yes",", Construction","")&amp;IF('Visit Log'!AX89="Yes",", Costumes","")&amp;IF('Visit Log'!AY89="Yes",", Craft Service","")&amp;IF('Visit Log'!AZ89="Yes",", Electrical","")&amp;IF('Visit Log'!BA89="Yes",", Greens","")&amp;IF('Visit Log'!BB89="Yes",", Grip","")&amp;IF('Visit Log'!BC89="Yes",", Locations","")&amp;IF('Visit Log'!BD89="Yes",", Medic","")&amp;IF('Visit Log'!BE89="Yes",", Paint","")&amp;IF('Visit Log'!BF89="Yes",", Plaster","")&amp;IF('Visit Log'!BG89="Yes",", Props","")&amp;IF('Visit Log'!BH89="Yes",", Set Dec","")&amp;IF('Visit Log'!BI89="Yes",", Set Teacher","")&amp;IF('Visit Log'!BJ89="Yes",", Sound","")&amp;IF('Visit Log'!BK89="Yes",", SPFX","")&amp;IF('Visit Log'!BL89="Yes",", Video",""),3,300)))</f>
        <v/>
      </c>
      <c r="F89" s="32">
        <f>IF('Visit Log'!C89="","",'Visit Log'!T89)</f>
        <v/>
      </c>
    </row>
    <row r="90">
      <c r="A90" s="28">
        <f>IF('Visit Log'!C90="","",'Visit Log'!A90)</f>
        <v/>
      </c>
      <c r="B90" s="28">
        <f>IF('Visit Log'!C90="","",'Visit Log'!C90)</f>
        <v/>
      </c>
      <c r="C90" s="28">
        <f>IF('Visit Log'!C90="","",'Visit Log'!D90)</f>
        <v/>
      </c>
      <c r="D90" s="29">
        <f>IF('Visit Log'!C90="","",'Visit Log'!B90)</f>
        <v/>
      </c>
      <c r="E90" s="28">
        <f>IF('Visit Log'!C90="","",IF((IF('Visit Log'!AV90="Yes",", Art","")&amp;IF('Visit Log'!AW90="Yes",", Construction","")&amp;IF('Visit Log'!AX90="Yes",", Costumes","")&amp;IF('Visit Log'!AY90="Yes",", Craft Service","")&amp;IF('Visit Log'!AZ90="Yes",", Electrical","")&amp;IF('Visit Log'!BA90="Yes",", Greens","")&amp;IF('Visit Log'!BB90="Yes",", Grip","")&amp;IF('Visit Log'!BC90="Yes",", Locations","")&amp;IF('Visit Log'!BD90="Yes",", Medic","")&amp;IF('Visit Log'!BE90="Yes",", Paint","")&amp;IF('Visit Log'!BF90="Yes",", Plaster","")&amp;IF('Visit Log'!BG90="Yes",", Props","")&amp;IF('Visit Log'!BH90="Yes",", Set Dec","")&amp;IF('Visit Log'!BI90="Yes",", Set Teacher","")&amp;IF('Visit Log'!BJ90="Yes",", Sound","")&amp;IF('Visit Log'!BK90="Yes",", SPFX","")&amp;IF('Visit Log'!BL90="Yes",", Video",""))="","",MID(IF('Visit Log'!AV90="Yes",", Art","")&amp;IF('Visit Log'!AW90="Yes",", Construction","")&amp;IF('Visit Log'!AX90="Yes",", Costumes","")&amp;IF('Visit Log'!AY90="Yes",", Craft Service","")&amp;IF('Visit Log'!AZ90="Yes",", Electrical","")&amp;IF('Visit Log'!BA90="Yes",", Greens","")&amp;IF('Visit Log'!BB90="Yes",", Grip","")&amp;IF('Visit Log'!BC90="Yes",", Locations","")&amp;IF('Visit Log'!BD90="Yes",", Medic","")&amp;IF('Visit Log'!BE90="Yes",", Paint","")&amp;IF('Visit Log'!BF90="Yes",", Plaster","")&amp;IF('Visit Log'!BG90="Yes",", Props","")&amp;IF('Visit Log'!BH90="Yes",", Set Dec","")&amp;IF('Visit Log'!BI90="Yes",", Set Teacher","")&amp;IF('Visit Log'!BJ90="Yes",", Sound","")&amp;IF('Visit Log'!BK90="Yes",", SPFX","")&amp;IF('Visit Log'!BL90="Yes",", Video",""),3,300)))</f>
        <v/>
      </c>
      <c r="F90" s="28">
        <f>IF('Visit Log'!C90="","",'Visit Log'!T90)</f>
        <v/>
      </c>
    </row>
    <row r="91">
      <c r="A91" s="32">
        <f>IF('Visit Log'!C91="","",'Visit Log'!A91)</f>
        <v/>
      </c>
      <c r="B91" s="32">
        <f>IF('Visit Log'!C91="","",'Visit Log'!C91)</f>
        <v/>
      </c>
      <c r="C91" s="32">
        <f>IF('Visit Log'!C91="","",'Visit Log'!D91)</f>
        <v/>
      </c>
      <c r="D91" s="33">
        <f>IF('Visit Log'!C91="","",'Visit Log'!B91)</f>
        <v/>
      </c>
      <c r="E91" s="32">
        <f>IF('Visit Log'!C91="","",IF((IF('Visit Log'!AV91="Yes",", Art","")&amp;IF('Visit Log'!AW91="Yes",", Construction","")&amp;IF('Visit Log'!AX91="Yes",", Costumes","")&amp;IF('Visit Log'!AY91="Yes",", Craft Service","")&amp;IF('Visit Log'!AZ91="Yes",", Electrical","")&amp;IF('Visit Log'!BA91="Yes",", Greens","")&amp;IF('Visit Log'!BB91="Yes",", Grip","")&amp;IF('Visit Log'!BC91="Yes",", Locations","")&amp;IF('Visit Log'!BD91="Yes",", Medic","")&amp;IF('Visit Log'!BE91="Yes",", Paint","")&amp;IF('Visit Log'!BF91="Yes",", Plaster","")&amp;IF('Visit Log'!BG91="Yes",", Props","")&amp;IF('Visit Log'!BH91="Yes",", Set Dec","")&amp;IF('Visit Log'!BI91="Yes",", Set Teacher","")&amp;IF('Visit Log'!BJ91="Yes",", Sound","")&amp;IF('Visit Log'!BK91="Yes",", SPFX","")&amp;IF('Visit Log'!BL91="Yes",", Video",""))="","",MID(IF('Visit Log'!AV91="Yes",", Art","")&amp;IF('Visit Log'!AW91="Yes",", Construction","")&amp;IF('Visit Log'!AX91="Yes",", Costumes","")&amp;IF('Visit Log'!AY91="Yes",", Craft Service","")&amp;IF('Visit Log'!AZ91="Yes",", Electrical","")&amp;IF('Visit Log'!BA91="Yes",", Greens","")&amp;IF('Visit Log'!BB91="Yes",", Grip","")&amp;IF('Visit Log'!BC91="Yes",", Locations","")&amp;IF('Visit Log'!BD91="Yes",", Medic","")&amp;IF('Visit Log'!BE91="Yes",", Paint","")&amp;IF('Visit Log'!BF91="Yes",", Plaster","")&amp;IF('Visit Log'!BG91="Yes",", Props","")&amp;IF('Visit Log'!BH91="Yes",", Set Dec","")&amp;IF('Visit Log'!BI91="Yes",", Set Teacher","")&amp;IF('Visit Log'!BJ91="Yes",", Sound","")&amp;IF('Visit Log'!BK91="Yes",", SPFX","")&amp;IF('Visit Log'!BL91="Yes",", Video",""),3,300)))</f>
        <v/>
      </c>
      <c r="F91" s="32">
        <f>IF('Visit Log'!C91="","",'Visit Log'!T91)</f>
        <v/>
      </c>
    </row>
    <row r="92">
      <c r="A92" s="28">
        <f>IF('Visit Log'!C92="","",'Visit Log'!A92)</f>
        <v/>
      </c>
      <c r="B92" s="28">
        <f>IF('Visit Log'!C92="","",'Visit Log'!C92)</f>
        <v/>
      </c>
      <c r="C92" s="28">
        <f>IF('Visit Log'!C92="","",'Visit Log'!D92)</f>
        <v/>
      </c>
      <c r="D92" s="29">
        <f>IF('Visit Log'!C92="","",'Visit Log'!B92)</f>
        <v/>
      </c>
      <c r="E92" s="28">
        <f>IF('Visit Log'!C92="","",IF((IF('Visit Log'!AV92="Yes",", Art","")&amp;IF('Visit Log'!AW92="Yes",", Construction","")&amp;IF('Visit Log'!AX92="Yes",", Costumes","")&amp;IF('Visit Log'!AY92="Yes",", Craft Service","")&amp;IF('Visit Log'!AZ92="Yes",", Electrical","")&amp;IF('Visit Log'!BA92="Yes",", Greens","")&amp;IF('Visit Log'!BB92="Yes",", Grip","")&amp;IF('Visit Log'!BC92="Yes",", Locations","")&amp;IF('Visit Log'!BD92="Yes",", Medic","")&amp;IF('Visit Log'!BE92="Yes",", Paint","")&amp;IF('Visit Log'!BF92="Yes",", Plaster","")&amp;IF('Visit Log'!BG92="Yes",", Props","")&amp;IF('Visit Log'!BH92="Yes",", Set Dec","")&amp;IF('Visit Log'!BI92="Yes",", Set Teacher","")&amp;IF('Visit Log'!BJ92="Yes",", Sound","")&amp;IF('Visit Log'!BK92="Yes",", SPFX","")&amp;IF('Visit Log'!BL92="Yes",", Video",""))="","",MID(IF('Visit Log'!AV92="Yes",", Art","")&amp;IF('Visit Log'!AW92="Yes",", Construction","")&amp;IF('Visit Log'!AX92="Yes",", Costumes","")&amp;IF('Visit Log'!AY92="Yes",", Craft Service","")&amp;IF('Visit Log'!AZ92="Yes",", Electrical","")&amp;IF('Visit Log'!BA92="Yes",", Greens","")&amp;IF('Visit Log'!BB92="Yes",", Grip","")&amp;IF('Visit Log'!BC92="Yes",", Locations","")&amp;IF('Visit Log'!BD92="Yes",", Medic","")&amp;IF('Visit Log'!BE92="Yes",", Paint","")&amp;IF('Visit Log'!BF92="Yes",", Plaster","")&amp;IF('Visit Log'!BG92="Yes",", Props","")&amp;IF('Visit Log'!BH92="Yes",", Set Dec","")&amp;IF('Visit Log'!BI92="Yes",", Set Teacher","")&amp;IF('Visit Log'!BJ92="Yes",", Sound","")&amp;IF('Visit Log'!BK92="Yes",", SPFX","")&amp;IF('Visit Log'!BL92="Yes",", Video",""),3,300)))</f>
        <v/>
      </c>
      <c r="F92" s="28">
        <f>IF('Visit Log'!C92="","",'Visit Log'!T92)</f>
        <v/>
      </c>
    </row>
    <row r="93">
      <c r="A93" s="32">
        <f>IF('Visit Log'!C93="","",'Visit Log'!A93)</f>
        <v/>
      </c>
      <c r="B93" s="32">
        <f>IF('Visit Log'!C93="","",'Visit Log'!C93)</f>
        <v/>
      </c>
      <c r="C93" s="32">
        <f>IF('Visit Log'!C93="","",'Visit Log'!D93)</f>
        <v/>
      </c>
      <c r="D93" s="33">
        <f>IF('Visit Log'!C93="","",'Visit Log'!B93)</f>
        <v/>
      </c>
      <c r="E93" s="32">
        <f>IF('Visit Log'!C93="","",IF((IF('Visit Log'!AV93="Yes",", Art","")&amp;IF('Visit Log'!AW93="Yes",", Construction","")&amp;IF('Visit Log'!AX93="Yes",", Costumes","")&amp;IF('Visit Log'!AY93="Yes",", Craft Service","")&amp;IF('Visit Log'!AZ93="Yes",", Electrical","")&amp;IF('Visit Log'!BA93="Yes",", Greens","")&amp;IF('Visit Log'!BB93="Yes",", Grip","")&amp;IF('Visit Log'!BC93="Yes",", Locations","")&amp;IF('Visit Log'!BD93="Yes",", Medic","")&amp;IF('Visit Log'!BE93="Yes",", Paint","")&amp;IF('Visit Log'!BF93="Yes",", Plaster","")&amp;IF('Visit Log'!BG93="Yes",", Props","")&amp;IF('Visit Log'!BH93="Yes",", Set Dec","")&amp;IF('Visit Log'!BI93="Yes",", Set Teacher","")&amp;IF('Visit Log'!BJ93="Yes",", Sound","")&amp;IF('Visit Log'!BK93="Yes",", SPFX","")&amp;IF('Visit Log'!BL93="Yes",", Video",""))="","",MID(IF('Visit Log'!AV93="Yes",", Art","")&amp;IF('Visit Log'!AW93="Yes",", Construction","")&amp;IF('Visit Log'!AX93="Yes",", Costumes","")&amp;IF('Visit Log'!AY93="Yes",", Craft Service","")&amp;IF('Visit Log'!AZ93="Yes",", Electrical","")&amp;IF('Visit Log'!BA93="Yes",", Greens","")&amp;IF('Visit Log'!BB93="Yes",", Grip","")&amp;IF('Visit Log'!BC93="Yes",", Locations","")&amp;IF('Visit Log'!BD93="Yes",", Medic","")&amp;IF('Visit Log'!BE93="Yes",", Paint","")&amp;IF('Visit Log'!BF93="Yes",", Plaster","")&amp;IF('Visit Log'!BG93="Yes",", Props","")&amp;IF('Visit Log'!BH93="Yes",", Set Dec","")&amp;IF('Visit Log'!BI93="Yes",", Set Teacher","")&amp;IF('Visit Log'!BJ93="Yes",", Sound","")&amp;IF('Visit Log'!BK93="Yes",", SPFX","")&amp;IF('Visit Log'!BL93="Yes",", Video",""),3,300)))</f>
        <v/>
      </c>
      <c r="F93" s="32">
        <f>IF('Visit Log'!C93="","",'Visit Log'!T93)</f>
        <v/>
      </c>
    </row>
    <row r="94">
      <c r="A94" s="28">
        <f>IF('Visit Log'!C94="","",'Visit Log'!A94)</f>
        <v/>
      </c>
      <c r="B94" s="28">
        <f>IF('Visit Log'!C94="","",'Visit Log'!C94)</f>
        <v/>
      </c>
      <c r="C94" s="28">
        <f>IF('Visit Log'!C94="","",'Visit Log'!D94)</f>
        <v/>
      </c>
      <c r="D94" s="29">
        <f>IF('Visit Log'!C94="","",'Visit Log'!B94)</f>
        <v/>
      </c>
      <c r="E94" s="28">
        <f>IF('Visit Log'!C94="","",IF((IF('Visit Log'!AV94="Yes",", Art","")&amp;IF('Visit Log'!AW94="Yes",", Construction","")&amp;IF('Visit Log'!AX94="Yes",", Costumes","")&amp;IF('Visit Log'!AY94="Yes",", Craft Service","")&amp;IF('Visit Log'!AZ94="Yes",", Electrical","")&amp;IF('Visit Log'!BA94="Yes",", Greens","")&amp;IF('Visit Log'!BB94="Yes",", Grip","")&amp;IF('Visit Log'!BC94="Yes",", Locations","")&amp;IF('Visit Log'!BD94="Yes",", Medic","")&amp;IF('Visit Log'!BE94="Yes",", Paint","")&amp;IF('Visit Log'!BF94="Yes",", Plaster","")&amp;IF('Visit Log'!BG94="Yes",", Props","")&amp;IF('Visit Log'!BH94="Yes",", Set Dec","")&amp;IF('Visit Log'!BI94="Yes",", Set Teacher","")&amp;IF('Visit Log'!BJ94="Yes",", Sound","")&amp;IF('Visit Log'!BK94="Yes",", SPFX","")&amp;IF('Visit Log'!BL94="Yes",", Video",""))="","",MID(IF('Visit Log'!AV94="Yes",", Art","")&amp;IF('Visit Log'!AW94="Yes",", Construction","")&amp;IF('Visit Log'!AX94="Yes",", Costumes","")&amp;IF('Visit Log'!AY94="Yes",", Craft Service","")&amp;IF('Visit Log'!AZ94="Yes",", Electrical","")&amp;IF('Visit Log'!BA94="Yes",", Greens","")&amp;IF('Visit Log'!BB94="Yes",", Grip","")&amp;IF('Visit Log'!BC94="Yes",", Locations","")&amp;IF('Visit Log'!BD94="Yes",", Medic","")&amp;IF('Visit Log'!BE94="Yes",", Paint","")&amp;IF('Visit Log'!BF94="Yes",", Plaster","")&amp;IF('Visit Log'!BG94="Yes",", Props","")&amp;IF('Visit Log'!BH94="Yes",", Set Dec","")&amp;IF('Visit Log'!BI94="Yes",", Set Teacher","")&amp;IF('Visit Log'!BJ94="Yes",", Sound","")&amp;IF('Visit Log'!BK94="Yes",", SPFX","")&amp;IF('Visit Log'!BL94="Yes",", Video",""),3,300)))</f>
        <v/>
      </c>
      <c r="F94" s="28">
        <f>IF('Visit Log'!C94="","",'Visit Log'!T94)</f>
        <v/>
      </c>
    </row>
    <row r="95">
      <c r="A95" s="32">
        <f>IF('Visit Log'!C95="","",'Visit Log'!A95)</f>
        <v/>
      </c>
      <c r="B95" s="32">
        <f>IF('Visit Log'!C95="","",'Visit Log'!C95)</f>
        <v/>
      </c>
      <c r="C95" s="32">
        <f>IF('Visit Log'!C95="","",'Visit Log'!D95)</f>
        <v/>
      </c>
      <c r="D95" s="33">
        <f>IF('Visit Log'!C95="","",'Visit Log'!B95)</f>
        <v/>
      </c>
      <c r="E95" s="32">
        <f>IF('Visit Log'!C95="","",IF((IF('Visit Log'!AV95="Yes",", Art","")&amp;IF('Visit Log'!AW95="Yes",", Construction","")&amp;IF('Visit Log'!AX95="Yes",", Costumes","")&amp;IF('Visit Log'!AY95="Yes",", Craft Service","")&amp;IF('Visit Log'!AZ95="Yes",", Electrical","")&amp;IF('Visit Log'!BA95="Yes",", Greens","")&amp;IF('Visit Log'!BB95="Yes",", Grip","")&amp;IF('Visit Log'!BC95="Yes",", Locations","")&amp;IF('Visit Log'!BD95="Yes",", Medic","")&amp;IF('Visit Log'!BE95="Yes",", Paint","")&amp;IF('Visit Log'!BF95="Yes",", Plaster","")&amp;IF('Visit Log'!BG95="Yes",", Props","")&amp;IF('Visit Log'!BH95="Yes",", Set Dec","")&amp;IF('Visit Log'!BI95="Yes",", Set Teacher","")&amp;IF('Visit Log'!BJ95="Yes",", Sound","")&amp;IF('Visit Log'!BK95="Yes",", SPFX","")&amp;IF('Visit Log'!BL95="Yes",", Video",""))="","",MID(IF('Visit Log'!AV95="Yes",", Art","")&amp;IF('Visit Log'!AW95="Yes",", Construction","")&amp;IF('Visit Log'!AX95="Yes",", Costumes","")&amp;IF('Visit Log'!AY95="Yes",", Craft Service","")&amp;IF('Visit Log'!AZ95="Yes",", Electrical","")&amp;IF('Visit Log'!BA95="Yes",", Greens","")&amp;IF('Visit Log'!BB95="Yes",", Grip","")&amp;IF('Visit Log'!BC95="Yes",", Locations","")&amp;IF('Visit Log'!BD95="Yes",", Medic","")&amp;IF('Visit Log'!BE95="Yes",", Paint","")&amp;IF('Visit Log'!BF95="Yes",", Plaster","")&amp;IF('Visit Log'!BG95="Yes",", Props","")&amp;IF('Visit Log'!BH95="Yes",", Set Dec","")&amp;IF('Visit Log'!BI95="Yes",", Set Teacher","")&amp;IF('Visit Log'!BJ95="Yes",", Sound","")&amp;IF('Visit Log'!BK95="Yes",", SPFX","")&amp;IF('Visit Log'!BL95="Yes",", Video",""),3,300)))</f>
        <v/>
      </c>
      <c r="F95" s="32">
        <f>IF('Visit Log'!C95="","",'Visit Log'!T95)</f>
        <v/>
      </c>
    </row>
    <row r="96">
      <c r="A96" s="28">
        <f>IF('Visit Log'!C96="","",'Visit Log'!A96)</f>
        <v/>
      </c>
      <c r="B96" s="28">
        <f>IF('Visit Log'!C96="","",'Visit Log'!C96)</f>
        <v/>
      </c>
      <c r="C96" s="28">
        <f>IF('Visit Log'!C96="","",'Visit Log'!D96)</f>
        <v/>
      </c>
      <c r="D96" s="29">
        <f>IF('Visit Log'!C96="","",'Visit Log'!B96)</f>
        <v/>
      </c>
      <c r="E96" s="28">
        <f>IF('Visit Log'!C96="","",IF((IF('Visit Log'!AV96="Yes",", Art","")&amp;IF('Visit Log'!AW96="Yes",", Construction","")&amp;IF('Visit Log'!AX96="Yes",", Costumes","")&amp;IF('Visit Log'!AY96="Yes",", Craft Service","")&amp;IF('Visit Log'!AZ96="Yes",", Electrical","")&amp;IF('Visit Log'!BA96="Yes",", Greens","")&amp;IF('Visit Log'!BB96="Yes",", Grip","")&amp;IF('Visit Log'!BC96="Yes",", Locations","")&amp;IF('Visit Log'!BD96="Yes",", Medic","")&amp;IF('Visit Log'!BE96="Yes",", Paint","")&amp;IF('Visit Log'!BF96="Yes",", Plaster","")&amp;IF('Visit Log'!BG96="Yes",", Props","")&amp;IF('Visit Log'!BH96="Yes",", Set Dec","")&amp;IF('Visit Log'!BI96="Yes",", Set Teacher","")&amp;IF('Visit Log'!BJ96="Yes",", Sound","")&amp;IF('Visit Log'!BK96="Yes",", SPFX","")&amp;IF('Visit Log'!BL96="Yes",", Video",""))="","",MID(IF('Visit Log'!AV96="Yes",", Art","")&amp;IF('Visit Log'!AW96="Yes",", Construction","")&amp;IF('Visit Log'!AX96="Yes",", Costumes","")&amp;IF('Visit Log'!AY96="Yes",", Craft Service","")&amp;IF('Visit Log'!AZ96="Yes",", Electrical","")&amp;IF('Visit Log'!BA96="Yes",", Greens","")&amp;IF('Visit Log'!BB96="Yes",", Grip","")&amp;IF('Visit Log'!BC96="Yes",", Locations","")&amp;IF('Visit Log'!BD96="Yes",", Medic","")&amp;IF('Visit Log'!BE96="Yes",", Paint","")&amp;IF('Visit Log'!BF96="Yes",", Plaster","")&amp;IF('Visit Log'!BG96="Yes",", Props","")&amp;IF('Visit Log'!BH96="Yes",", Set Dec","")&amp;IF('Visit Log'!BI96="Yes",", Set Teacher","")&amp;IF('Visit Log'!BJ96="Yes",", Sound","")&amp;IF('Visit Log'!BK96="Yes",", SPFX","")&amp;IF('Visit Log'!BL96="Yes",", Video",""),3,300)))</f>
        <v/>
      </c>
      <c r="F96" s="28">
        <f>IF('Visit Log'!C96="","",'Visit Log'!T96)</f>
        <v/>
      </c>
    </row>
    <row r="97">
      <c r="A97" s="32">
        <f>IF('Visit Log'!C97="","",'Visit Log'!A97)</f>
        <v/>
      </c>
      <c r="B97" s="32">
        <f>IF('Visit Log'!C97="","",'Visit Log'!C97)</f>
        <v/>
      </c>
      <c r="C97" s="32">
        <f>IF('Visit Log'!C97="","",'Visit Log'!D97)</f>
        <v/>
      </c>
      <c r="D97" s="33">
        <f>IF('Visit Log'!C97="","",'Visit Log'!B97)</f>
        <v/>
      </c>
      <c r="E97" s="32">
        <f>IF('Visit Log'!C97="","",IF((IF('Visit Log'!AV97="Yes",", Art","")&amp;IF('Visit Log'!AW97="Yes",", Construction","")&amp;IF('Visit Log'!AX97="Yes",", Costumes","")&amp;IF('Visit Log'!AY97="Yes",", Craft Service","")&amp;IF('Visit Log'!AZ97="Yes",", Electrical","")&amp;IF('Visit Log'!BA97="Yes",", Greens","")&amp;IF('Visit Log'!BB97="Yes",", Grip","")&amp;IF('Visit Log'!BC97="Yes",", Locations","")&amp;IF('Visit Log'!BD97="Yes",", Medic","")&amp;IF('Visit Log'!BE97="Yes",", Paint","")&amp;IF('Visit Log'!BF97="Yes",", Plaster","")&amp;IF('Visit Log'!BG97="Yes",", Props","")&amp;IF('Visit Log'!BH97="Yes",", Set Dec","")&amp;IF('Visit Log'!BI97="Yes",", Set Teacher","")&amp;IF('Visit Log'!BJ97="Yes",", Sound","")&amp;IF('Visit Log'!BK97="Yes",", SPFX","")&amp;IF('Visit Log'!BL97="Yes",", Video",""))="","",MID(IF('Visit Log'!AV97="Yes",", Art","")&amp;IF('Visit Log'!AW97="Yes",", Construction","")&amp;IF('Visit Log'!AX97="Yes",", Costumes","")&amp;IF('Visit Log'!AY97="Yes",", Craft Service","")&amp;IF('Visit Log'!AZ97="Yes",", Electrical","")&amp;IF('Visit Log'!BA97="Yes",", Greens","")&amp;IF('Visit Log'!BB97="Yes",", Grip","")&amp;IF('Visit Log'!BC97="Yes",", Locations","")&amp;IF('Visit Log'!BD97="Yes",", Medic","")&amp;IF('Visit Log'!BE97="Yes",", Paint","")&amp;IF('Visit Log'!BF97="Yes",", Plaster","")&amp;IF('Visit Log'!BG97="Yes",", Props","")&amp;IF('Visit Log'!BH97="Yes",", Set Dec","")&amp;IF('Visit Log'!BI97="Yes",", Set Teacher","")&amp;IF('Visit Log'!BJ97="Yes",", Sound","")&amp;IF('Visit Log'!BK97="Yes",", SPFX","")&amp;IF('Visit Log'!BL97="Yes",", Video",""),3,300)))</f>
        <v/>
      </c>
      <c r="F97" s="32">
        <f>IF('Visit Log'!C97="","",'Visit Log'!T97)</f>
        <v/>
      </c>
    </row>
    <row r="98">
      <c r="A98" s="28">
        <f>IF('Visit Log'!C98="","",'Visit Log'!A98)</f>
        <v/>
      </c>
      <c r="B98" s="28">
        <f>IF('Visit Log'!C98="","",'Visit Log'!C98)</f>
        <v/>
      </c>
      <c r="C98" s="28">
        <f>IF('Visit Log'!C98="","",'Visit Log'!D98)</f>
        <v/>
      </c>
      <c r="D98" s="29">
        <f>IF('Visit Log'!C98="","",'Visit Log'!B98)</f>
        <v/>
      </c>
      <c r="E98" s="28">
        <f>IF('Visit Log'!C98="","",IF((IF('Visit Log'!AV98="Yes",", Art","")&amp;IF('Visit Log'!AW98="Yes",", Construction","")&amp;IF('Visit Log'!AX98="Yes",", Costumes","")&amp;IF('Visit Log'!AY98="Yes",", Craft Service","")&amp;IF('Visit Log'!AZ98="Yes",", Electrical","")&amp;IF('Visit Log'!BA98="Yes",", Greens","")&amp;IF('Visit Log'!BB98="Yes",", Grip","")&amp;IF('Visit Log'!BC98="Yes",", Locations","")&amp;IF('Visit Log'!BD98="Yes",", Medic","")&amp;IF('Visit Log'!BE98="Yes",", Paint","")&amp;IF('Visit Log'!BF98="Yes",", Plaster","")&amp;IF('Visit Log'!BG98="Yes",", Props","")&amp;IF('Visit Log'!BH98="Yes",", Set Dec","")&amp;IF('Visit Log'!BI98="Yes",", Set Teacher","")&amp;IF('Visit Log'!BJ98="Yes",", Sound","")&amp;IF('Visit Log'!BK98="Yes",", SPFX","")&amp;IF('Visit Log'!BL98="Yes",", Video",""))="","",MID(IF('Visit Log'!AV98="Yes",", Art","")&amp;IF('Visit Log'!AW98="Yes",", Construction","")&amp;IF('Visit Log'!AX98="Yes",", Costumes","")&amp;IF('Visit Log'!AY98="Yes",", Craft Service","")&amp;IF('Visit Log'!AZ98="Yes",", Electrical","")&amp;IF('Visit Log'!BA98="Yes",", Greens","")&amp;IF('Visit Log'!BB98="Yes",", Grip","")&amp;IF('Visit Log'!BC98="Yes",", Locations","")&amp;IF('Visit Log'!BD98="Yes",", Medic","")&amp;IF('Visit Log'!BE98="Yes",", Paint","")&amp;IF('Visit Log'!BF98="Yes",", Plaster","")&amp;IF('Visit Log'!BG98="Yes",", Props","")&amp;IF('Visit Log'!BH98="Yes",", Set Dec","")&amp;IF('Visit Log'!BI98="Yes",", Set Teacher","")&amp;IF('Visit Log'!BJ98="Yes",", Sound","")&amp;IF('Visit Log'!BK98="Yes",", SPFX","")&amp;IF('Visit Log'!BL98="Yes",", Video",""),3,300)))</f>
        <v/>
      </c>
      <c r="F98" s="28">
        <f>IF('Visit Log'!C98="","",'Visit Log'!T98)</f>
        <v/>
      </c>
    </row>
    <row r="99">
      <c r="A99" s="32">
        <f>IF('Visit Log'!C99="","",'Visit Log'!A99)</f>
        <v/>
      </c>
      <c r="B99" s="32">
        <f>IF('Visit Log'!C99="","",'Visit Log'!C99)</f>
        <v/>
      </c>
      <c r="C99" s="32">
        <f>IF('Visit Log'!C99="","",'Visit Log'!D99)</f>
        <v/>
      </c>
      <c r="D99" s="33">
        <f>IF('Visit Log'!C99="","",'Visit Log'!B99)</f>
        <v/>
      </c>
      <c r="E99" s="32">
        <f>IF('Visit Log'!C99="","",IF((IF('Visit Log'!AV99="Yes",", Art","")&amp;IF('Visit Log'!AW99="Yes",", Construction","")&amp;IF('Visit Log'!AX99="Yes",", Costumes","")&amp;IF('Visit Log'!AY99="Yes",", Craft Service","")&amp;IF('Visit Log'!AZ99="Yes",", Electrical","")&amp;IF('Visit Log'!BA99="Yes",", Greens","")&amp;IF('Visit Log'!BB99="Yes",", Grip","")&amp;IF('Visit Log'!BC99="Yes",", Locations","")&amp;IF('Visit Log'!BD99="Yes",", Medic","")&amp;IF('Visit Log'!BE99="Yes",", Paint","")&amp;IF('Visit Log'!BF99="Yes",", Plaster","")&amp;IF('Visit Log'!BG99="Yes",", Props","")&amp;IF('Visit Log'!BH99="Yes",", Set Dec","")&amp;IF('Visit Log'!BI99="Yes",", Set Teacher","")&amp;IF('Visit Log'!BJ99="Yes",", Sound","")&amp;IF('Visit Log'!BK99="Yes",", SPFX","")&amp;IF('Visit Log'!BL99="Yes",", Video",""))="","",MID(IF('Visit Log'!AV99="Yes",", Art","")&amp;IF('Visit Log'!AW99="Yes",", Construction","")&amp;IF('Visit Log'!AX99="Yes",", Costumes","")&amp;IF('Visit Log'!AY99="Yes",", Craft Service","")&amp;IF('Visit Log'!AZ99="Yes",", Electrical","")&amp;IF('Visit Log'!BA99="Yes",", Greens","")&amp;IF('Visit Log'!BB99="Yes",", Grip","")&amp;IF('Visit Log'!BC99="Yes",", Locations","")&amp;IF('Visit Log'!BD99="Yes",", Medic","")&amp;IF('Visit Log'!BE99="Yes",", Paint","")&amp;IF('Visit Log'!BF99="Yes",", Plaster","")&amp;IF('Visit Log'!BG99="Yes",", Props","")&amp;IF('Visit Log'!BH99="Yes",", Set Dec","")&amp;IF('Visit Log'!BI99="Yes",", Set Teacher","")&amp;IF('Visit Log'!BJ99="Yes",", Sound","")&amp;IF('Visit Log'!BK99="Yes",", SPFX","")&amp;IF('Visit Log'!BL99="Yes",", Video",""),3,300)))</f>
        <v/>
      </c>
      <c r="F99" s="32">
        <f>IF('Visit Log'!C99="","",'Visit Log'!T99)</f>
        <v/>
      </c>
    </row>
    <row r="100">
      <c r="A100" s="28">
        <f>IF('Visit Log'!C100="","",'Visit Log'!A100)</f>
        <v/>
      </c>
      <c r="B100" s="28">
        <f>IF('Visit Log'!C100="","",'Visit Log'!C100)</f>
        <v/>
      </c>
      <c r="C100" s="28">
        <f>IF('Visit Log'!C100="","",'Visit Log'!D100)</f>
        <v/>
      </c>
      <c r="D100" s="29">
        <f>IF('Visit Log'!C100="","",'Visit Log'!B100)</f>
        <v/>
      </c>
      <c r="E100" s="28">
        <f>IF('Visit Log'!C100="","",IF((IF('Visit Log'!AV100="Yes",", Art","")&amp;IF('Visit Log'!AW100="Yes",", Construction","")&amp;IF('Visit Log'!AX100="Yes",", Costumes","")&amp;IF('Visit Log'!AY100="Yes",", Craft Service","")&amp;IF('Visit Log'!AZ100="Yes",", Electrical","")&amp;IF('Visit Log'!BA100="Yes",", Greens","")&amp;IF('Visit Log'!BB100="Yes",", Grip","")&amp;IF('Visit Log'!BC100="Yes",", Locations","")&amp;IF('Visit Log'!BD100="Yes",", Medic","")&amp;IF('Visit Log'!BE100="Yes",", Paint","")&amp;IF('Visit Log'!BF100="Yes",", Plaster","")&amp;IF('Visit Log'!BG100="Yes",", Props","")&amp;IF('Visit Log'!BH100="Yes",", Set Dec","")&amp;IF('Visit Log'!BI100="Yes",", Set Teacher","")&amp;IF('Visit Log'!BJ100="Yes",", Sound","")&amp;IF('Visit Log'!BK100="Yes",", SPFX","")&amp;IF('Visit Log'!BL100="Yes",", Video",""))="","",MID(IF('Visit Log'!AV100="Yes",", Art","")&amp;IF('Visit Log'!AW100="Yes",", Construction","")&amp;IF('Visit Log'!AX100="Yes",", Costumes","")&amp;IF('Visit Log'!AY100="Yes",", Craft Service","")&amp;IF('Visit Log'!AZ100="Yes",", Electrical","")&amp;IF('Visit Log'!BA100="Yes",", Greens","")&amp;IF('Visit Log'!BB100="Yes",", Grip","")&amp;IF('Visit Log'!BC100="Yes",", Locations","")&amp;IF('Visit Log'!BD100="Yes",", Medic","")&amp;IF('Visit Log'!BE100="Yes",", Paint","")&amp;IF('Visit Log'!BF100="Yes",", Plaster","")&amp;IF('Visit Log'!BG100="Yes",", Props","")&amp;IF('Visit Log'!BH100="Yes",", Set Dec","")&amp;IF('Visit Log'!BI100="Yes",", Set Teacher","")&amp;IF('Visit Log'!BJ100="Yes",", Sound","")&amp;IF('Visit Log'!BK100="Yes",", SPFX","")&amp;IF('Visit Log'!BL100="Yes",", Video",""),3,300)))</f>
        <v/>
      </c>
      <c r="F100" s="28">
        <f>IF('Visit Log'!C100="","",'Visit Log'!T100)</f>
        <v/>
      </c>
    </row>
    <row r="101">
      <c r="A101" s="32">
        <f>IF('Visit Log'!C101="","",'Visit Log'!A101)</f>
        <v/>
      </c>
      <c r="B101" s="32">
        <f>IF('Visit Log'!C101="","",'Visit Log'!C101)</f>
        <v/>
      </c>
      <c r="C101" s="32">
        <f>IF('Visit Log'!C101="","",'Visit Log'!D101)</f>
        <v/>
      </c>
      <c r="D101" s="33">
        <f>IF('Visit Log'!C101="","",'Visit Log'!B101)</f>
        <v/>
      </c>
      <c r="E101" s="32">
        <f>IF('Visit Log'!C101="","",IF((IF('Visit Log'!AV101="Yes",", Art","")&amp;IF('Visit Log'!AW101="Yes",", Construction","")&amp;IF('Visit Log'!AX101="Yes",", Costumes","")&amp;IF('Visit Log'!AY101="Yes",", Craft Service","")&amp;IF('Visit Log'!AZ101="Yes",", Electrical","")&amp;IF('Visit Log'!BA101="Yes",", Greens","")&amp;IF('Visit Log'!BB101="Yes",", Grip","")&amp;IF('Visit Log'!BC101="Yes",", Locations","")&amp;IF('Visit Log'!BD101="Yes",", Medic","")&amp;IF('Visit Log'!BE101="Yes",", Paint","")&amp;IF('Visit Log'!BF101="Yes",", Plaster","")&amp;IF('Visit Log'!BG101="Yes",", Props","")&amp;IF('Visit Log'!BH101="Yes",", Set Dec","")&amp;IF('Visit Log'!BI101="Yes",", Set Teacher","")&amp;IF('Visit Log'!BJ101="Yes",", Sound","")&amp;IF('Visit Log'!BK101="Yes",", SPFX","")&amp;IF('Visit Log'!BL101="Yes",", Video",""))="","",MID(IF('Visit Log'!AV101="Yes",", Art","")&amp;IF('Visit Log'!AW101="Yes",", Construction","")&amp;IF('Visit Log'!AX101="Yes",", Costumes","")&amp;IF('Visit Log'!AY101="Yes",", Craft Service","")&amp;IF('Visit Log'!AZ101="Yes",", Electrical","")&amp;IF('Visit Log'!BA101="Yes",", Greens","")&amp;IF('Visit Log'!BB101="Yes",", Grip","")&amp;IF('Visit Log'!BC101="Yes",", Locations","")&amp;IF('Visit Log'!BD101="Yes",", Medic","")&amp;IF('Visit Log'!BE101="Yes",", Paint","")&amp;IF('Visit Log'!BF101="Yes",", Plaster","")&amp;IF('Visit Log'!BG101="Yes",", Props","")&amp;IF('Visit Log'!BH101="Yes",", Set Dec","")&amp;IF('Visit Log'!BI101="Yes",", Set Teacher","")&amp;IF('Visit Log'!BJ101="Yes",", Sound","")&amp;IF('Visit Log'!BK101="Yes",", SPFX","")&amp;IF('Visit Log'!BL101="Yes",", Video",""),3,300)))</f>
        <v/>
      </c>
      <c r="F101" s="32">
        <f>IF('Visit Log'!C101="","",'Visit Log'!T101)</f>
        <v/>
      </c>
    </row>
    <row r="102">
      <c r="A102" s="28">
        <f>IF('Visit Log'!C102="","",'Visit Log'!A102)</f>
        <v/>
      </c>
      <c r="B102" s="28">
        <f>IF('Visit Log'!C102="","",'Visit Log'!C102)</f>
        <v/>
      </c>
      <c r="C102" s="28">
        <f>IF('Visit Log'!C102="","",'Visit Log'!D102)</f>
        <v/>
      </c>
      <c r="D102" s="29">
        <f>IF('Visit Log'!C102="","",'Visit Log'!B102)</f>
        <v/>
      </c>
      <c r="E102" s="28">
        <f>IF('Visit Log'!C102="","",IF((IF('Visit Log'!AV102="Yes",", Art","")&amp;IF('Visit Log'!AW102="Yes",", Construction","")&amp;IF('Visit Log'!AX102="Yes",", Costumes","")&amp;IF('Visit Log'!AY102="Yes",", Craft Service","")&amp;IF('Visit Log'!AZ102="Yes",", Electrical","")&amp;IF('Visit Log'!BA102="Yes",", Greens","")&amp;IF('Visit Log'!BB102="Yes",", Grip","")&amp;IF('Visit Log'!BC102="Yes",", Locations","")&amp;IF('Visit Log'!BD102="Yes",", Medic","")&amp;IF('Visit Log'!BE102="Yes",", Paint","")&amp;IF('Visit Log'!BF102="Yes",", Plaster","")&amp;IF('Visit Log'!BG102="Yes",", Props","")&amp;IF('Visit Log'!BH102="Yes",", Set Dec","")&amp;IF('Visit Log'!BI102="Yes",", Set Teacher","")&amp;IF('Visit Log'!BJ102="Yes",", Sound","")&amp;IF('Visit Log'!BK102="Yes",", SPFX","")&amp;IF('Visit Log'!BL102="Yes",", Video",""))="","",MID(IF('Visit Log'!AV102="Yes",", Art","")&amp;IF('Visit Log'!AW102="Yes",", Construction","")&amp;IF('Visit Log'!AX102="Yes",", Costumes","")&amp;IF('Visit Log'!AY102="Yes",", Craft Service","")&amp;IF('Visit Log'!AZ102="Yes",", Electrical","")&amp;IF('Visit Log'!BA102="Yes",", Greens","")&amp;IF('Visit Log'!BB102="Yes",", Grip","")&amp;IF('Visit Log'!BC102="Yes",", Locations","")&amp;IF('Visit Log'!BD102="Yes",", Medic","")&amp;IF('Visit Log'!BE102="Yes",", Paint","")&amp;IF('Visit Log'!BF102="Yes",", Plaster","")&amp;IF('Visit Log'!BG102="Yes",", Props","")&amp;IF('Visit Log'!BH102="Yes",", Set Dec","")&amp;IF('Visit Log'!BI102="Yes",", Set Teacher","")&amp;IF('Visit Log'!BJ102="Yes",", Sound","")&amp;IF('Visit Log'!BK102="Yes",", SPFX","")&amp;IF('Visit Log'!BL102="Yes",", Video",""),3,300)))</f>
        <v/>
      </c>
      <c r="F102" s="28">
        <f>IF('Visit Log'!C102="","",'Visit Log'!T102)</f>
        <v/>
      </c>
    </row>
    <row r="103">
      <c r="A103" s="32">
        <f>IF('Visit Log'!C103="","",'Visit Log'!A103)</f>
        <v/>
      </c>
      <c r="B103" s="32">
        <f>IF('Visit Log'!C103="","",'Visit Log'!C103)</f>
        <v/>
      </c>
      <c r="C103" s="32">
        <f>IF('Visit Log'!C103="","",'Visit Log'!D103)</f>
        <v/>
      </c>
      <c r="D103" s="33">
        <f>IF('Visit Log'!C103="","",'Visit Log'!B103)</f>
        <v/>
      </c>
      <c r="E103" s="32">
        <f>IF('Visit Log'!C103="","",IF((IF('Visit Log'!AV103="Yes",", Art","")&amp;IF('Visit Log'!AW103="Yes",", Construction","")&amp;IF('Visit Log'!AX103="Yes",", Costumes","")&amp;IF('Visit Log'!AY103="Yes",", Craft Service","")&amp;IF('Visit Log'!AZ103="Yes",", Electrical","")&amp;IF('Visit Log'!BA103="Yes",", Greens","")&amp;IF('Visit Log'!BB103="Yes",", Grip","")&amp;IF('Visit Log'!BC103="Yes",", Locations","")&amp;IF('Visit Log'!BD103="Yes",", Medic","")&amp;IF('Visit Log'!BE103="Yes",", Paint","")&amp;IF('Visit Log'!BF103="Yes",", Plaster","")&amp;IF('Visit Log'!BG103="Yes",", Props","")&amp;IF('Visit Log'!BH103="Yes",", Set Dec","")&amp;IF('Visit Log'!BI103="Yes",", Set Teacher","")&amp;IF('Visit Log'!BJ103="Yes",", Sound","")&amp;IF('Visit Log'!BK103="Yes",", SPFX","")&amp;IF('Visit Log'!BL103="Yes",", Video",""))="","",MID(IF('Visit Log'!AV103="Yes",", Art","")&amp;IF('Visit Log'!AW103="Yes",", Construction","")&amp;IF('Visit Log'!AX103="Yes",", Costumes","")&amp;IF('Visit Log'!AY103="Yes",", Craft Service","")&amp;IF('Visit Log'!AZ103="Yes",", Electrical","")&amp;IF('Visit Log'!BA103="Yes",", Greens","")&amp;IF('Visit Log'!BB103="Yes",", Grip","")&amp;IF('Visit Log'!BC103="Yes",", Locations","")&amp;IF('Visit Log'!BD103="Yes",", Medic","")&amp;IF('Visit Log'!BE103="Yes",", Paint","")&amp;IF('Visit Log'!BF103="Yes",", Plaster","")&amp;IF('Visit Log'!BG103="Yes",", Props","")&amp;IF('Visit Log'!BH103="Yes",", Set Dec","")&amp;IF('Visit Log'!BI103="Yes",", Set Teacher","")&amp;IF('Visit Log'!BJ103="Yes",", Sound","")&amp;IF('Visit Log'!BK103="Yes",", SPFX","")&amp;IF('Visit Log'!BL103="Yes",", Video",""),3,300)))</f>
        <v/>
      </c>
      <c r="F103" s="32">
        <f>IF('Visit Log'!C103="","",'Visit Log'!T103)</f>
        <v/>
      </c>
    </row>
    <row r="104">
      <c r="A104" s="28">
        <f>IF('Visit Log'!C104="","",'Visit Log'!A104)</f>
        <v/>
      </c>
      <c r="B104" s="28">
        <f>IF('Visit Log'!C104="","",'Visit Log'!C104)</f>
        <v/>
      </c>
      <c r="C104" s="28">
        <f>IF('Visit Log'!C104="","",'Visit Log'!D104)</f>
        <v/>
      </c>
      <c r="D104" s="29">
        <f>IF('Visit Log'!C104="","",'Visit Log'!B104)</f>
        <v/>
      </c>
      <c r="E104" s="28">
        <f>IF('Visit Log'!C104="","",IF((IF('Visit Log'!AV104="Yes",", Art","")&amp;IF('Visit Log'!AW104="Yes",", Construction","")&amp;IF('Visit Log'!AX104="Yes",", Costumes","")&amp;IF('Visit Log'!AY104="Yes",", Craft Service","")&amp;IF('Visit Log'!AZ104="Yes",", Electrical","")&amp;IF('Visit Log'!BA104="Yes",", Greens","")&amp;IF('Visit Log'!BB104="Yes",", Grip","")&amp;IF('Visit Log'!BC104="Yes",", Locations","")&amp;IF('Visit Log'!BD104="Yes",", Medic","")&amp;IF('Visit Log'!BE104="Yes",", Paint","")&amp;IF('Visit Log'!BF104="Yes",", Plaster","")&amp;IF('Visit Log'!BG104="Yes",", Props","")&amp;IF('Visit Log'!BH104="Yes",", Set Dec","")&amp;IF('Visit Log'!BI104="Yes",", Set Teacher","")&amp;IF('Visit Log'!BJ104="Yes",", Sound","")&amp;IF('Visit Log'!BK104="Yes",", SPFX","")&amp;IF('Visit Log'!BL104="Yes",", Video",""))="","",MID(IF('Visit Log'!AV104="Yes",", Art","")&amp;IF('Visit Log'!AW104="Yes",", Construction","")&amp;IF('Visit Log'!AX104="Yes",", Costumes","")&amp;IF('Visit Log'!AY104="Yes",", Craft Service","")&amp;IF('Visit Log'!AZ104="Yes",", Electrical","")&amp;IF('Visit Log'!BA104="Yes",", Greens","")&amp;IF('Visit Log'!BB104="Yes",", Grip","")&amp;IF('Visit Log'!BC104="Yes",", Locations","")&amp;IF('Visit Log'!BD104="Yes",", Medic","")&amp;IF('Visit Log'!BE104="Yes",", Paint","")&amp;IF('Visit Log'!BF104="Yes",", Plaster","")&amp;IF('Visit Log'!BG104="Yes",", Props","")&amp;IF('Visit Log'!BH104="Yes",", Set Dec","")&amp;IF('Visit Log'!BI104="Yes",", Set Teacher","")&amp;IF('Visit Log'!BJ104="Yes",", Sound","")&amp;IF('Visit Log'!BK104="Yes",", SPFX","")&amp;IF('Visit Log'!BL104="Yes",", Video",""),3,300)))</f>
        <v/>
      </c>
      <c r="F104" s="28">
        <f>IF('Visit Log'!C104="","",'Visit Log'!T104)</f>
        <v/>
      </c>
    </row>
    <row r="105">
      <c r="A105" s="32">
        <f>IF('Visit Log'!C105="","",'Visit Log'!A105)</f>
        <v/>
      </c>
      <c r="B105" s="32">
        <f>IF('Visit Log'!C105="","",'Visit Log'!C105)</f>
        <v/>
      </c>
      <c r="C105" s="32">
        <f>IF('Visit Log'!C105="","",'Visit Log'!D105)</f>
        <v/>
      </c>
      <c r="D105" s="33">
        <f>IF('Visit Log'!C105="","",'Visit Log'!B105)</f>
        <v/>
      </c>
      <c r="E105" s="32">
        <f>IF('Visit Log'!C105="","",IF((IF('Visit Log'!AV105="Yes",", Art","")&amp;IF('Visit Log'!AW105="Yes",", Construction","")&amp;IF('Visit Log'!AX105="Yes",", Costumes","")&amp;IF('Visit Log'!AY105="Yes",", Craft Service","")&amp;IF('Visit Log'!AZ105="Yes",", Electrical","")&amp;IF('Visit Log'!BA105="Yes",", Greens","")&amp;IF('Visit Log'!BB105="Yes",", Grip","")&amp;IF('Visit Log'!BC105="Yes",", Locations","")&amp;IF('Visit Log'!BD105="Yes",", Medic","")&amp;IF('Visit Log'!BE105="Yes",", Paint","")&amp;IF('Visit Log'!BF105="Yes",", Plaster","")&amp;IF('Visit Log'!BG105="Yes",", Props","")&amp;IF('Visit Log'!BH105="Yes",", Set Dec","")&amp;IF('Visit Log'!BI105="Yes",", Set Teacher","")&amp;IF('Visit Log'!BJ105="Yes",", Sound","")&amp;IF('Visit Log'!BK105="Yes",", SPFX","")&amp;IF('Visit Log'!BL105="Yes",", Video",""))="","",MID(IF('Visit Log'!AV105="Yes",", Art","")&amp;IF('Visit Log'!AW105="Yes",", Construction","")&amp;IF('Visit Log'!AX105="Yes",", Costumes","")&amp;IF('Visit Log'!AY105="Yes",", Craft Service","")&amp;IF('Visit Log'!AZ105="Yes",", Electrical","")&amp;IF('Visit Log'!BA105="Yes",", Greens","")&amp;IF('Visit Log'!BB105="Yes",", Grip","")&amp;IF('Visit Log'!BC105="Yes",", Locations","")&amp;IF('Visit Log'!BD105="Yes",", Medic","")&amp;IF('Visit Log'!BE105="Yes",", Paint","")&amp;IF('Visit Log'!BF105="Yes",", Plaster","")&amp;IF('Visit Log'!BG105="Yes",", Props","")&amp;IF('Visit Log'!BH105="Yes",", Set Dec","")&amp;IF('Visit Log'!BI105="Yes",", Set Teacher","")&amp;IF('Visit Log'!BJ105="Yes",", Sound","")&amp;IF('Visit Log'!BK105="Yes",", SPFX","")&amp;IF('Visit Log'!BL105="Yes",", Video",""),3,300)))</f>
        <v/>
      </c>
      <c r="F105" s="32">
        <f>IF('Visit Log'!C105="","",'Visit Log'!T105)</f>
        <v/>
      </c>
    </row>
    <row r="106">
      <c r="A106" s="28">
        <f>IF('Visit Log'!C106="","",'Visit Log'!A106)</f>
        <v/>
      </c>
      <c r="B106" s="28">
        <f>IF('Visit Log'!C106="","",'Visit Log'!C106)</f>
        <v/>
      </c>
      <c r="C106" s="28">
        <f>IF('Visit Log'!C106="","",'Visit Log'!D106)</f>
        <v/>
      </c>
      <c r="D106" s="29">
        <f>IF('Visit Log'!C106="","",'Visit Log'!B106)</f>
        <v/>
      </c>
      <c r="E106" s="28">
        <f>IF('Visit Log'!C106="","",IF((IF('Visit Log'!AV106="Yes",", Art","")&amp;IF('Visit Log'!AW106="Yes",", Construction","")&amp;IF('Visit Log'!AX106="Yes",", Costumes","")&amp;IF('Visit Log'!AY106="Yes",", Craft Service","")&amp;IF('Visit Log'!AZ106="Yes",", Electrical","")&amp;IF('Visit Log'!BA106="Yes",", Greens","")&amp;IF('Visit Log'!BB106="Yes",", Grip","")&amp;IF('Visit Log'!BC106="Yes",", Locations","")&amp;IF('Visit Log'!BD106="Yes",", Medic","")&amp;IF('Visit Log'!BE106="Yes",", Paint","")&amp;IF('Visit Log'!BF106="Yes",", Plaster","")&amp;IF('Visit Log'!BG106="Yes",", Props","")&amp;IF('Visit Log'!BH106="Yes",", Set Dec","")&amp;IF('Visit Log'!BI106="Yes",", Set Teacher","")&amp;IF('Visit Log'!BJ106="Yes",", Sound","")&amp;IF('Visit Log'!BK106="Yes",", SPFX","")&amp;IF('Visit Log'!BL106="Yes",", Video",""))="","",MID(IF('Visit Log'!AV106="Yes",", Art","")&amp;IF('Visit Log'!AW106="Yes",", Construction","")&amp;IF('Visit Log'!AX106="Yes",", Costumes","")&amp;IF('Visit Log'!AY106="Yes",", Craft Service","")&amp;IF('Visit Log'!AZ106="Yes",", Electrical","")&amp;IF('Visit Log'!BA106="Yes",", Greens","")&amp;IF('Visit Log'!BB106="Yes",", Grip","")&amp;IF('Visit Log'!BC106="Yes",", Locations","")&amp;IF('Visit Log'!BD106="Yes",", Medic","")&amp;IF('Visit Log'!BE106="Yes",", Paint","")&amp;IF('Visit Log'!BF106="Yes",", Plaster","")&amp;IF('Visit Log'!BG106="Yes",", Props","")&amp;IF('Visit Log'!BH106="Yes",", Set Dec","")&amp;IF('Visit Log'!BI106="Yes",", Set Teacher","")&amp;IF('Visit Log'!BJ106="Yes",", Sound","")&amp;IF('Visit Log'!BK106="Yes",", SPFX","")&amp;IF('Visit Log'!BL106="Yes",", Video",""),3,300)))</f>
        <v/>
      </c>
      <c r="F106" s="28">
        <f>IF('Visit Log'!C106="","",'Visit Log'!T106)</f>
        <v/>
      </c>
    </row>
    <row r="107">
      <c r="A107" s="32">
        <f>IF('Visit Log'!C107="","",'Visit Log'!A107)</f>
        <v/>
      </c>
      <c r="B107" s="32">
        <f>IF('Visit Log'!C107="","",'Visit Log'!C107)</f>
        <v/>
      </c>
      <c r="C107" s="32">
        <f>IF('Visit Log'!C107="","",'Visit Log'!D107)</f>
        <v/>
      </c>
      <c r="D107" s="33">
        <f>IF('Visit Log'!C107="","",'Visit Log'!B107)</f>
        <v/>
      </c>
      <c r="E107" s="32">
        <f>IF('Visit Log'!C107="","",IF((IF('Visit Log'!AV107="Yes",", Art","")&amp;IF('Visit Log'!AW107="Yes",", Construction","")&amp;IF('Visit Log'!AX107="Yes",", Costumes","")&amp;IF('Visit Log'!AY107="Yes",", Craft Service","")&amp;IF('Visit Log'!AZ107="Yes",", Electrical","")&amp;IF('Visit Log'!BA107="Yes",", Greens","")&amp;IF('Visit Log'!BB107="Yes",", Grip","")&amp;IF('Visit Log'!BC107="Yes",", Locations","")&amp;IF('Visit Log'!BD107="Yes",", Medic","")&amp;IF('Visit Log'!BE107="Yes",", Paint","")&amp;IF('Visit Log'!BF107="Yes",", Plaster","")&amp;IF('Visit Log'!BG107="Yes",", Props","")&amp;IF('Visit Log'!BH107="Yes",", Set Dec","")&amp;IF('Visit Log'!BI107="Yes",", Set Teacher","")&amp;IF('Visit Log'!BJ107="Yes",", Sound","")&amp;IF('Visit Log'!BK107="Yes",", SPFX","")&amp;IF('Visit Log'!BL107="Yes",", Video",""))="","",MID(IF('Visit Log'!AV107="Yes",", Art","")&amp;IF('Visit Log'!AW107="Yes",", Construction","")&amp;IF('Visit Log'!AX107="Yes",", Costumes","")&amp;IF('Visit Log'!AY107="Yes",", Craft Service","")&amp;IF('Visit Log'!AZ107="Yes",", Electrical","")&amp;IF('Visit Log'!BA107="Yes",", Greens","")&amp;IF('Visit Log'!BB107="Yes",", Grip","")&amp;IF('Visit Log'!BC107="Yes",", Locations","")&amp;IF('Visit Log'!BD107="Yes",", Medic","")&amp;IF('Visit Log'!BE107="Yes",", Paint","")&amp;IF('Visit Log'!BF107="Yes",", Plaster","")&amp;IF('Visit Log'!BG107="Yes",", Props","")&amp;IF('Visit Log'!BH107="Yes",", Set Dec","")&amp;IF('Visit Log'!BI107="Yes",", Set Teacher","")&amp;IF('Visit Log'!BJ107="Yes",", Sound","")&amp;IF('Visit Log'!BK107="Yes",", SPFX","")&amp;IF('Visit Log'!BL107="Yes",", Video",""),3,300)))</f>
        <v/>
      </c>
      <c r="F107" s="32">
        <f>IF('Visit Log'!C107="","",'Visit Log'!T107)</f>
        <v/>
      </c>
    </row>
    <row r="108">
      <c r="A108" s="28">
        <f>IF('Visit Log'!C108="","",'Visit Log'!A108)</f>
        <v/>
      </c>
      <c r="B108" s="28">
        <f>IF('Visit Log'!C108="","",'Visit Log'!C108)</f>
        <v/>
      </c>
      <c r="C108" s="28">
        <f>IF('Visit Log'!C108="","",'Visit Log'!D108)</f>
        <v/>
      </c>
      <c r="D108" s="29">
        <f>IF('Visit Log'!C108="","",'Visit Log'!B108)</f>
        <v/>
      </c>
      <c r="E108" s="28">
        <f>IF('Visit Log'!C108="","",IF((IF('Visit Log'!AV108="Yes",", Art","")&amp;IF('Visit Log'!AW108="Yes",", Construction","")&amp;IF('Visit Log'!AX108="Yes",", Costumes","")&amp;IF('Visit Log'!AY108="Yes",", Craft Service","")&amp;IF('Visit Log'!AZ108="Yes",", Electrical","")&amp;IF('Visit Log'!BA108="Yes",", Greens","")&amp;IF('Visit Log'!BB108="Yes",", Grip","")&amp;IF('Visit Log'!BC108="Yes",", Locations","")&amp;IF('Visit Log'!BD108="Yes",", Medic","")&amp;IF('Visit Log'!BE108="Yes",", Paint","")&amp;IF('Visit Log'!BF108="Yes",", Plaster","")&amp;IF('Visit Log'!BG108="Yes",", Props","")&amp;IF('Visit Log'!BH108="Yes",", Set Dec","")&amp;IF('Visit Log'!BI108="Yes",", Set Teacher","")&amp;IF('Visit Log'!BJ108="Yes",", Sound","")&amp;IF('Visit Log'!BK108="Yes",", SPFX","")&amp;IF('Visit Log'!BL108="Yes",", Video",""))="","",MID(IF('Visit Log'!AV108="Yes",", Art","")&amp;IF('Visit Log'!AW108="Yes",", Construction","")&amp;IF('Visit Log'!AX108="Yes",", Costumes","")&amp;IF('Visit Log'!AY108="Yes",", Craft Service","")&amp;IF('Visit Log'!AZ108="Yes",", Electrical","")&amp;IF('Visit Log'!BA108="Yes",", Greens","")&amp;IF('Visit Log'!BB108="Yes",", Grip","")&amp;IF('Visit Log'!BC108="Yes",", Locations","")&amp;IF('Visit Log'!BD108="Yes",", Medic","")&amp;IF('Visit Log'!BE108="Yes",", Paint","")&amp;IF('Visit Log'!BF108="Yes",", Plaster","")&amp;IF('Visit Log'!BG108="Yes",", Props","")&amp;IF('Visit Log'!BH108="Yes",", Set Dec","")&amp;IF('Visit Log'!BI108="Yes",", Set Teacher","")&amp;IF('Visit Log'!BJ108="Yes",", Sound","")&amp;IF('Visit Log'!BK108="Yes",", SPFX","")&amp;IF('Visit Log'!BL108="Yes",", Video",""),3,300)))</f>
        <v/>
      </c>
      <c r="F108" s="28">
        <f>IF('Visit Log'!C108="","",'Visit Log'!T108)</f>
        <v/>
      </c>
    </row>
    <row r="109">
      <c r="A109" s="32">
        <f>IF('Visit Log'!C109="","",'Visit Log'!A109)</f>
        <v/>
      </c>
      <c r="B109" s="32">
        <f>IF('Visit Log'!C109="","",'Visit Log'!C109)</f>
        <v/>
      </c>
      <c r="C109" s="32">
        <f>IF('Visit Log'!C109="","",'Visit Log'!D109)</f>
        <v/>
      </c>
      <c r="D109" s="33">
        <f>IF('Visit Log'!C109="","",'Visit Log'!B109)</f>
        <v/>
      </c>
      <c r="E109" s="32">
        <f>IF('Visit Log'!C109="","",IF((IF('Visit Log'!AV109="Yes",", Art","")&amp;IF('Visit Log'!AW109="Yes",", Construction","")&amp;IF('Visit Log'!AX109="Yes",", Costumes","")&amp;IF('Visit Log'!AY109="Yes",", Craft Service","")&amp;IF('Visit Log'!AZ109="Yes",", Electrical","")&amp;IF('Visit Log'!BA109="Yes",", Greens","")&amp;IF('Visit Log'!BB109="Yes",", Grip","")&amp;IF('Visit Log'!BC109="Yes",", Locations","")&amp;IF('Visit Log'!BD109="Yes",", Medic","")&amp;IF('Visit Log'!BE109="Yes",", Paint","")&amp;IF('Visit Log'!BF109="Yes",", Plaster","")&amp;IF('Visit Log'!BG109="Yes",", Props","")&amp;IF('Visit Log'!BH109="Yes",", Set Dec","")&amp;IF('Visit Log'!BI109="Yes",", Set Teacher","")&amp;IF('Visit Log'!BJ109="Yes",", Sound","")&amp;IF('Visit Log'!BK109="Yes",", SPFX","")&amp;IF('Visit Log'!BL109="Yes",", Video",""))="","",MID(IF('Visit Log'!AV109="Yes",", Art","")&amp;IF('Visit Log'!AW109="Yes",", Construction","")&amp;IF('Visit Log'!AX109="Yes",", Costumes","")&amp;IF('Visit Log'!AY109="Yes",", Craft Service","")&amp;IF('Visit Log'!AZ109="Yes",", Electrical","")&amp;IF('Visit Log'!BA109="Yes",", Greens","")&amp;IF('Visit Log'!BB109="Yes",", Grip","")&amp;IF('Visit Log'!BC109="Yes",", Locations","")&amp;IF('Visit Log'!BD109="Yes",", Medic","")&amp;IF('Visit Log'!BE109="Yes",", Paint","")&amp;IF('Visit Log'!BF109="Yes",", Plaster","")&amp;IF('Visit Log'!BG109="Yes",", Props","")&amp;IF('Visit Log'!BH109="Yes",", Set Dec","")&amp;IF('Visit Log'!BI109="Yes",", Set Teacher","")&amp;IF('Visit Log'!BJ109="Yes",", Sound","")&amp;IF('Visit Log'!BK109="Yes",", SPFX","")&amp;IF('Visit Log'!BL109="Yes",", Video",""),3,300)))</f>
        <v/>
      </c>
      <c r="F109" s="32">
        <f>IF('Visit Log'!C109="","",'Visit Log'!T109)</f>
        <v/>
      </c>
    </row>
    <row r="110">
      <c r="A110" s="28">
        <f>IF('Visit Log'!C110="","",'Visit Log'!A110)</f>
        <v/>
      </c>
      <c r="B110" s="28">
        <f>IF('Visit Log'!C110="","",'Visit Log'!C110)</f>
        <v/>
      </c>
      <c r="C110" s="28">
        <f>IF('Visit Log'!C110="","",'Visit Log'!D110)</f>
        <v/>
      </c>
      <c r="D110" s="29">
        <f>IF('Visit Log'!C110="","",'Visit Log'!B110)</f>
        <v/>
      </c>
      <c r="E110" s="28">
        <f>IF('Visit Log'!C110="","",IF((IF('Visit Log'!AV110="Yes",", Art","")&amp;IF('Visit Log'!AW110="Yes",", Construction","")&amp;IF('Visit Log'!AX110="Yes",", Costumes","")&amp;IF('Visit Log'!AY110="Yes",", Craft Service","")&amp;IF('Visit Log'!AZ110="Yes",", Electrical","")&amp;IF('Visit Log'!BA110="Yes",", Greens","")&amp;IF('Visit Log'!BB110="Yes",", Grip","")&amp;IF('Visit Log'!BC110="Yes",", Locations","")&amp;IF('Visit Log'!BD110="Yes",", Medic","")&amp;IF('Visit Log'!BE110="Yes",", Paint","")&amp;IF('Visit Log'!BF110="Yes",", Plaster","")&amp;IF('Visit Log'!BG110="Yes",", Props","")&amp;IF('Visit Log'!BH110="Yes",", Set Dec","")&amp;IF('Visit Log'!BI110="Yes",", Set Teacher","")&amp;IF('Visit Log'!BJ110="Yes",", Sound","")&amp;IF('Visit Log'!BK110="Yes",", SPFX","")&amp;IF('Visit Log'!BL110="Yes",", Video",""))="","",MID(IF('Visit Log'!AV110="Yes",", Art","")&amp;IF('Visit Log'!AW110="Yes",", Construction","")&amp;IF('Visit Log'!AX110="Yes",", Costumes","")&amp;IF('Visit Log'!AY110="Yes",", Craft Service","")&amp;IF('Visit Log'!AZ110="Yes",", Electrical","")&amp;IF('Visit Log'!BA110="Yes",", Greens","")&amp;IF('Visit Log'!BB110="Yes",", Grip","")&amp;IF('Visit Log'!BC110="Yes",", Locations","")&amp;IF('Visit Log'!BD110="Yes",", Medic","")&amp;IF('Visit Log'!BE110="Yes",", Paint","")&amp;IF('Visit Log'!BF110="Yes",", Plaster","")&amp;IF('Visit Log'!BG110="Yes",", Props","")&amp;IF('Visit Log'!BH110="Yes",", Set Dec","")&amp;IF('Visit Log'!BI110="Yes",", Set Teacher","")&amp;IF('Visit Log'!BJ110="Yes",", Sound","")&amp;IF('Visit Log'!BK110="Yes",", SPFX","")&amp;IF('Visit Log'!BL110="Yes",", Video",""),3,300)))</f>
        <v/>
      </c>
      <c r="F110" s="28">
        <f>IF('Visit Log'!C110="","",'Visit Log'!T110)</f>
        <v/>
      </c>
    </row>
    <row r="111">
      <c r="A111" s="32">
        <f>IF('Visit Log'!C111="","",'Visit Log'!A111)</f>
        <v/>
      </c>
      <c r="B111" s="32">
        <f>IF('Visit Log'!C111="","",'Visit Log'!C111)</f>
        <v/>
      </c>
      <c r="C111" s="32">
        <f>IF('Visit Log'!C111="","",'Visit Log'!D111)</f>
        <v/>
      </c>
      <c r="D111" s="33">
        <f>IF('Visit Log'!C111="","",'Visit Log'!B111)</f>
        <v/>
      </c>
      <c r="E111" s="32">
        <f>IF('Visit Log'!C111="","",IF((IF('Visit Log'!AV111="Yes",", Art","")&amp;IF('Visit Log'!AW111="Yes",", Construction","")&amp;IF('Visit Log'!AX111="Yes",", Costumes","")&amp;IF('Visit Log'!AY111="Yes",", Craft Service","")&amp;IF('Visit Log'!AZ111="Yes",", Electrical","")&amp;IF('Visit Log'!BA111="Yes",", Greens","")&amp;IF('Visit Log'!BB111="Yes",", Grip","")&amp;IF('Visit Log'!BC111="Yes",", Locations","")&amp;IF('Visit Log'!BD111="Yes",", Medic","")&amp;IF('Visit Log'!BE111="Yes",", Paint","")&amp;IF('Visit Log'!BF111="Yes",", Plaster","")&amp;IF('Visit Log'!BG111="Yes",", Props","")&amp;IF('Visit Log'!BH111="Yes",", Set Dec","")&amp;IF('Visit Log'!BI111="Yes",", Set Teacher","")&amp;IF('Visit Log'!BJ111="Yes",", Sound","")&amp;IF('Visit Log'!BK111="Yes",", SPFX","")&amp;IF('Visit Log'!BL111="Yes",", Video",""))="","",MID(IF('Visit Log'!AV111="Yes",", Art","")&amp;IF('Visit Log'!AW111="Yes",", Construction","")&amp;IF('Visit Log'!AX111="Yes",", Costumes","")&amp;IF('Visit Log'!AY111="Yes",", Craft Service","")&amp;IF('Visit Log'!AZ111="Yes",", Electrical","")&amp;IF('Visit Log'!BA111="Yes",", Greens","")&amp;IF('Visit Log'!BB111="Yes",", Grip","")&amp;IF('Visit Log'!BC111="Yes",", Locations","")&amp;IF('Visit Log'!BD111="Yes",", Medic","")&amp;IF('Visit Log'!BE111="Yes",", Paint","")&amp;IF('Visit Log'!BF111="Yes",", Plaster","")&amp;IF('Visit Log'!BG111="Yes",", Props","")&amp;IF('Visit Log'!BH111="Yes",", Set Dec","")&amp;IF('Visit Log'!BI111="Yes",", Set Teacher","")&amp;IF('Visit Log'!BJ111="Yes",", Sound","")&amp;IF('Visit Log'!BK111="Yes",", SPFX","")&amp;IF('Visit Log'!BL111="Yes",", Video",""),3,300)))</f>
        <v/>
      </c>
      <c r="F111" s="32">
        <f>IF('Visit Log'!C111="","",'Visit Log'!T111)</f>
        <v/>
      </c>
    </row>
    <row r="112">
      <c r="A112" s="28">
        <f>IF('Visit Log'!C112="","",'Visit Log'!A112)</f>
        <v/>
      </c>
      <c r="B112" s="28">
        <f>IF('Visit Log'!C112="","",'Visit Log'!C112)</f>
        <v/>
      </c>
      <c r="C112" s="28">
        <f>IF('Visit Log'!C112="","",'Visit Log'!D112)</f>
        <v/>
      </c>
      <c r="D112" s="29">
        <f>IF('Visit Log'!C112="","",'Visit Log'!B112)</f>
        <v/>
      </c>
      <c r="E112" s="28">
        <f>IF('Visit Log'!C112="","",IF((IF('Visit Log'!AV112="Yes",", Art","")&amp;IF('Visit Log'!AW112="Yes",", Construction","")&amp;IF('Visit Log'!AX112="Yes",", Costumes","")&amp;IF('Visit Log'!AY112="Yes",", Craft Service","")&amp;IF('Visit Log'!AZ112="Yes",", Electrical","")&amp;IF('Visit Log'!BA112="Yes",", Greens","")&amp;IF('Visit Log'!BB112="Yes",", Grip","")&amp;IF('Visit Log'!BC112="Yes",", Locations","")&amp;IF('Visit Log'!BD112="Yes",", Medic","")&amp;IF('Visit Log'!BE112="Yes",", Paint","")&amp;IF('Visit Log'!BF112="Yes",", Plaster","")&amp;IF('Visit Log'!BG112="Yes",", Props","")&amp;IF('Visit Log'!BH112="Yes",", Set Dec","")&amp;IF('Visit Log'!BI112="Yes",", Set Teacher","")&amp;IF('Visit Log'!BJ112="Yes",", Sound","")&amp;IF('Visit Log'!BK112="Yes",", SPFX","")&amp;IF('Visit Log'!BL112="Yes",", Video",""))="","",MID(IF('Visit Log'!AV112="Yes",", Art","")&amp;IF('Visit Log'!AW112="Yes",", Construction","")&amp;IF('Visit Log'!AX112="Yes",", Costumes","")&amp;IF('Visit Log'!AY112="Yes",", Craft Service","")&amp;IF('Visit Log'!AZ112="Yes",", Electrical","")&amp;IF('Visit Log'!BA112="Yes",", Greens","")&amp;IF('Visit Log'!BB112="Yes",", Grip","")&amp;IF('Visit Log'!BC112="Yes",", Locations","")&amp;IF('Visit Log'!BD112="Yes",", Medic","")&amp;IF('Visit Log'!BE112="Yes",", Paint","")&amp;IF('Visit Log'!BF112="Yes",", Plaster","")&amp;IF('Visit Log'!BG112="Yes",", Props","")&amp;IF('Visit Log'!BH112="Yes",", Set Dec","")&amp;IF('Visit Log'!BI112="Yes",", Set Teacher","")&amp;IF('Visit Log'!BJ112="Yes",", Sound","")&amp;IF('Visit Log'!BK112="Yes",", SPFX","")&amp;IF('Visit Log'!BL112="Yes",", Video",""),3,300)))</f>
        <v/>
      </c>
      <c r="F112" s="28">
        <f>IF('Visit Log'!C112="","",'Visit Log'!T112)</f>
        <v/>
      </c>
    </row>
    <row r="113">
      <c r="A113" s="32">
        <f>IF('Visit Log'!C113="","",'Visit Log'!A113)</f>
        <v/>
      </c>
      <c r="B113" s="32">
        <f>IF('Visit Log'!C113="","",'Visit Log'!C113)</f>
        <v/>
      </c>
      <c r="C113" s="32">
        <f>IF('Visit Log'!C113="","",'Visit Log'!D113)</f>
        <v/>
      </c>
      <c r="D113" s="33">
        <f>IF('Visit Log'!C113="","",'Visit Log'!B113)</f>
        <v/>
      </c>
      <c r="E113" s="32">
        <f>IF('Visit Log'!C113="","",IF((IF('Visit Log'!AV113="Yes",", Art","")&amp;IF('Visit Log'!AW113="Yes",", Construction","")&amp;IF('Visit Log'!AX113="Yes",", Costumes","")&amp;IF('Visit Log'!AY113="Yes",", Craft Service","")&amp;IF('Visit Log'!AZ113="Yes",", Electrical","")&amp;IF('Visit Log'!BA113="Yes",", Greens","")&amp;IF('Visit Log'!BB113="Yes",", Grip","")&amp;IF('Visit Log'!BC113="Yes",", Locations","")&amp;IF('Visit Log'!BD113="Yes",", Medic","")&amp;IF('Visit Log'!BE113="Yes",", Paint","")&amp;IF('Visit Log'!BF113="Yes",", Plaster","")&amp;IF('Visit Log'!BG113="Yes",", Props","")&amp;IF('Visit Log'!BH113="Yes",", Set Dec","")&amp;IF('Visit Log'!BI113="Yes",", Set Teacher","")&amp;IF('Visit Log'!BJ113="Yes",", Sound","")&amp;IF('Visit Log'!BK113="Yes",", SPFX","")&amp;IF('Visit Log'!BL113="Yes",", Video",""))="","",MID(IF('Visit Log'!AV113="Yes",", Art","")&amp;IF('Visit Log'!AW113="Yes",", Construction","")&amp;IF('Visit Log'!AX113="Yes",", Costumes","")&amp;IF('Visit Log'!AY113="Yes",", Craft Service","")&amp;IF('Visit Log'!AZ113="Yes",", Electrical","")&amp;IF('Visit Log'!BA113="Yes",", Greens","")&amp;IF('Visit Log'!BB113="Yes",", Grip","")&amp;IF('Visit Log'!BC113="Yes",", Locations","")&amp;IF('Visit Log'!BD113="Yes",", Medic","")&amp;IF('Visit Log'!BE113="Yes",", Paint","")&amp;IF('Visit Log'!BF113="Yes",", Plaster","")&amp;IF('Visit Log'!BG113="Yes",", Props","")&amp;IF('Visit Log'!BH113="Yes",", Set Dec","")&amp;IF('Visit Log'!BI113="Yes",", Set Teacher","")&amp;IF('Visit Log'!BJ113="Yes",", Sound","")&amp;IF('Visit Log'!BK113="Yes",", SPFX","")&amp;IF('Visit Log'!BL113="Yes",", Video",""),3,300)))</f>
        <v/>
      </c>
      <c r="F113" s="32">
        <f>IF('Visit Log'!C113="","",'Visit Log'!T113)</f>
        <v/>
      </c>
    </row>
    <row r="114">
      <c r="A114" s="28">
        <f>IF('Visit Log'!C114="","",'Visit Log'!A114)</f>
        <v/>
      </c>
      <c r="B114" s="28">
        <f>IF('Visit Log'!C114="","",'Visit Log'!C114)</f>
        <v/>
      </c>
      <c r="C114" s="28">
        <f>IF('Visit Log'!C114="","",'Visit Log'!D114)</f>
        <v/>
      </c>
      <c r="D114" s="29">
        <f>IF('Visit Log'!C114="","",'Visit Log'!B114)</f>
        <v/>
      </c>
      <c r="E114" s="28">
        <f>IF('Visit Log'!C114="","",IF((IF('Visit Log'!AV114="Yes",", Art","")&amp;IF('Visit Log'!AW114="Yes",", Construction","")&amp;IF('Visit Log'!AX114="Yes",", Costumes","")&amp;IF('Visit Log'!AY114="Yes",", Craft Service","")&amp;IF('Visit Log'!AZ114="Yes",", Electrical","")&amp;IF('Visit Log'!BA114="Yes",", Greens","")&amp;IF('Visit Log'!BB114="Yes",", Grip","")&amp;IF('Visit Log'!BC114="Yes",", Locations","")&amp;IF('Visit Log'!BD114="Yes",", Medic","")&amp;IF('Visit Log'!BE114="Yes",", Paint","")&amp;IF('Visit Log'!BF114="Yes",", Plaster","")&amp;IF('Visit Log'!BG114="Yes",", Props","")&amp;IF('Visit Log'!BH114="Yes",", Set Dec","")&amp;IF('Visit Log'!BI114="Yes",", Set Teacher","")&amp;IF('Visit Log'!BJ114="Yes",", Sound","")&amp;IF('Visit Log'!BK114="Yes",", SPFX","")&amp;IF('Visit Log'!BL114="Yes",", Video",""))="","",MID(IF('Visit Log'!AV114="Yes",", Art","")&amp;IF('Visit Log'!AW114="Yes",", Construction","")&amp;IF('Visit Log'!AX114="Yes",", Costumes","")&amp;IF('Visit Log'!AY114="Yes",", Craft Service","")&amp;IF('Visit Log'!AZ114="Yes",", Electrical","")&amp;IF('Visit Log'!BA114="Yes",", Greens","")&amp;IF('Visit Log'!BB114="Yes",", Grip","")&amp;IF('Visit Log'!BC114="Yes",", Locations","")&amp;IF('Visit Log'!BD114="Yes",", Medic","")&amp;IF('Visit Log'!BE114="Yes",", Paint","")&amp;IF('Visit Log'!BF114="Yes",", Plaster","")&amp;IF('Visit Log'!BG114="Yes",", Props","")&amp;IF('Visit Log'!BH114="Yes",", Set Dec","")&amp;IF('Visit Log'!BI114="Yes",", Set Teacher","")&amp;IF('Visit Log'!BJ114="Yes",", Sound","")&amp;IF('Visit Log'!BK114="Yes",", SPFX","")&amp;IF('Visit Log'!BL114="Yes",", Video",""),3,300)))</f>
        <v/>
      </c>
      <c r="F114" s="28">
        <f>IF('Visit Log'!C114="","",'Visit Log'!T114)</f>
        <v/>
      </c>
    </row>
    <row r="115">
      <c r="A115" s="32">
        <f>IF('Visit Log'!C115="","",'Visit Log'!A115)</f>
        <v/>
      </c>
      <c r="B115" s="32">
        <f>IF('Visit Log'!C115="","",'Visit Log'!C115)</f>
        <v/>
      </c>
      <c r="C115" s="32">
        <f>IF('Visit Log'!C115="","",'Visit Log'!D115)</f>
        <v/>
      </c>
      <c r="D115" s="33">
        <f>IF('Visit Log'!C115="","",'Visit Log'!B115)</f>
        <v/>
      </c>
      <c r="E115" s="32">
        <f>IF('Visit Log'!C115="","",IF((IF('Visit Log'!AV115="Yes",", Art","")&amp;IF('Visit Log'!AW115="Yes",", Construction","")&amp;IF('Visit Log'!AX115="Yes",", Costumes","")&amp;IF('Visit Log'!AY115="Yes",", Craft Service","")&amp;IF('Visit Log'!AZ115="Yes",", Electrical","")&amp;IF('Visit Log'!BA115="Yes",", Greens","")&amp;IF('Visit Log'!BB115="Yes",", Grip","")&amp;IF('Visit Log'!BC115="Yes",", Locations","")&amp;IF('Visit Log'!BD115="Yes",", Medic","")&amp;IF('Visit Log'!BE115="Yes",", Paint","")&amp;IF('Visit Log'!BF115="Yes",", Plaster","")&amp;IF('Visit Log'!BG115="Yes",", Props","")&amp;IF('Visit Log'!BH115="Yes",", Set Dec","")&amp;IF('Visit Log'!BI115="Yes",", Set Teacher","")&amp;IF('Visit Log'!BJ115="Yes",", Sound","")&amp;IF('Visit Log'!BK115="Yes",", SPFX","")&amp;IF('Visit Log'!BL115="Yes",", Video",""))="","",MID(IF('Visit Log'!AV115="Yes",", Art","")&amp;IF('Visit Log'!AW115="Yes",", Construction","")&amp;IF('Visit Log'!AX115="Yes",", Costumes","")&amp;IF('Visit Log'!AY115="Yes",", Craft Service","")&amp;IF('Visit Log'!AZ115="Yes",", Electrical","")&amp;IF('Visit Log'!BA115="Yes",", Greens","")&amp;IF('Visit Log'!BB115="Yes",", Grip","")&amp;IF('Visit Log'!BC115="Yes",", Locations","")&amp;IF('Visit Log'!BD115="Yes",", Medic","")&amp;IF('Visit Log'!BE115="Yes",", Paint","")&amp;IF('Visit Log'!BF115="Yes",", Plaster","")&amp;IF('Visit Log'!BG115="Yes",", Props","")&amp;IF('Visit Log'!BH115="Yes",", Set Dec","")&amp;IF('Visit Log'!BI115="Yes",", Set Teacher","")&amp;IF('Visit Log'!BJ115="Yes",", Sound","")&amp;IF('Visit Log'!BK115="Yes",", SPFX","")&amp;IF('Visit Log'!BL115="Yes",", Video",""),3,300)))</f>
        <v/>
      </c>
      <c r="F115" s="32">
        <f>IF('Visit Log'!C115="","",'Visit Log'!T115)</f>
        <v/>
      </c>
    </row>
    <row r="116">
      <c r="A116" s="28">
        <f>IF('Visit Log'!C116="","",'Visit Log'!A116)</f>
        <v/>
      </c>
      <c r="B116" s="28">
        <f>IF('Visit Log'!C116="","",'Visit Log'!C116)</f>
        <v/>
      </c>
      <c r="C116" s="28">
        <f>IF('Visit Log'!C116="","",'Visit Log'!D116)</f>
        <v/>
      </c>
      <c r="D116" s="29">
        <f>IF('Visit Log'!C116="","",'Visit Log'!B116)</f>
        <v/>
      </c>
      <c r="E116" s="28">
        <f>IF('Visit Log'!C116="","",IF((IF('Visit Log'!AV116="Yes",", Art","")&amp;IF('Visit Log'!AW116="Yes",", Construction","")&amp;IF('Visit Log'!AX116="Yes",", Costumes","")&amp;IF('Visit Log'!AY116="Yes",", Craft Service","")&amp;IF('Visit Log'!AZ116="Yes",", Electrical","")&amp;IF('Visit Log'!BA116="Yes",", Greens","")&amp;IF('Visit Log'!BB116="Yes",", Grip","")&amp;IF('Visit Log'!BC116="Yes",", Locations","")&amp;IF('Visit Log'!BD116="Yes",", Medic","")&amp;IF('Visit Log'!BE116="Yes",", Paint","")&amp;IF('Visit Log'!BF116="Yes",", Plaster","")&amp;IF('Visit Log'!BG116="Yes",", Props","")&amp;IF('Visit Log'!BH116="Yes",", Set Dec","")&amp;IF('Visit Log'!BI116="Yes",", Set Teacher","")&amp;IF('Visit Log'!BJ116="Yes",", Sound","")&amp;IF('Visit Log'!BK116="Yes",", SPFX","")&amp;IF('Visit Log'!BL116="Yes",", Video",""))="","",MID(IF('Visit Log'!AV116="Yes",", Art","")&amp;IF('Visit Log'!AW116="Yes",", Construction","")&amp;IF('Visit Log'!AX116="Yes",", Costumes","")&amp;IF('Visit Log'!AY116="Yes",", Craft Service","")&amp;IF('Visit Log'!AZ116="Yes",", Electrical","")&amp;IF('Visit Log'!BA116="Yes",", Greens","")&amp;IF('Visit Log'!BB116="Yes",", Grip","")&amp;IF('Visit Log'!BC116="Yes",", Locations","")&amp;IF('Visit Log'!BD116="Yes",", Medic","")&amp;IF('Visit Log'!BE116="Yes",", Paint","")&amp;IF('Visit Log'!BF116="Yes",", Plaster","")&amp;IF('Visit Log'!BG116="Yes",", Props","")&amp;IF('Visit Log'!BH116="Yes",", Set Dec","")&amp;IF('Visit Log'!BI116="Yes",", Set Teacher","")&amp;IF('Visit Log'!BJ116="Yes",", Sound","")&amp;IF('Visit Log'!BK116="Yes",", SPFX","")&amp;IF('Visit Log'!BL116="Yes",", Video",""),3,300)))</f>
        <v/>
      </c>
      <c r="F116" s="28">
        <f>IF('Visit Log'!C116="","",'Visit Log'!T116)</f>
        <v/>
      </c>
    </row>
    <row r="117">
      <c r="A117" s="32">
        <f>IF('Visit Log'!C117="","",'Visit Log'!A117)</f>
        <v/>
      </c>
      <c r="B117" s="32">
        <f>IF('Visit Log'!C117="","",'Visit Log'!C117)</f>
        <v/>
      </c>
      <c r="C117" s="32">
        <f>IF('Visit Log'!C117="","",'Visit Log'!D117)</f>
        <v/>
      </c>
      <c r="D117" s="33">
        <f>IF('Visit Log'!C117="","",'Visit Log'!B117)</f>
        <v/>
      </c>
      <c r="E117" s="32">
        <f>IF('Visit Log'!C117="","",IF((IF('Visit Log'!AV117="Yes",", Art","")&amp;IF('Visit Log'!AW117="Yes",", Construction","")&amp;IF('Visit Log'!AX117="Yes",", Costumes","")&amp;IF('Visit Log'!AY117="Yes",", Craft Service","")&amp;IF('Visit Log'!AZ117="Yes",", Electrical","")&amp;IF('Visit Log'!BA117="Yes",", Greens","")&amp;IF('Visit Log'!BB117="Yes",", Grip","")&amp;IF('Visit Log'!BC117="Yes",", Locations","")&amp;IF('Visit Log'!BD117="Yes",", Medic","")&amp;IF('Visit Log'!BE117="Yes",", Paint","")&amp;IF('Visit Log'!BF117="Yes",", Plaster","")&amp;IF('Visit Log'!BG117="Yes",", Props","")&amp;IF('Visit Log'!BH117="Yes",", Set Dec","")&amp;IF('Visit Log'!BI117="Yes",", Set Teacher","")&amp;IF('Visit Log'!BJ117="Yes",", Sound","")&amp;IF('Visit Log'!BK117="Yes",", SPFX","")&amp;IF('Visit Log'!BL117="Yes",", Video",""))="","",MID(IF('Visit Log'!AV117="Yes",", Art","")&amp;IF('Visit Log'!AW117="Yes",", Construction","")&amp;IF('Visit Log'!AX117="Yes",", Costumes","")&amp;IF('Visit Log'!AY117="Yes",", Craft Service","")&amp;IF('Visit Log'!AZ117="Yes",", Electrical","")&amp;IF('Visit Log'!BA117="Yes",", Greens","")&amp;IF('Visit Log'!BB117="Yes",", Grip","")&amp;IF('Visit Log'!BC117="Yes",", Locations","")&amp;IF('Visit Log'!BD117="Yes",", Medic","")&amp;IF('Visit Log'!BE117="Yes",", Paint","")&amp;IF('Visit Log'!BF117="Yes",", Plaster","")&amp;IF('Visit Log'!BG117="Yes",", Props","")&amp;IF('Visit Log'!BH117="Yes",", Set Dec","")&amp;IF('Visit Log'!BI117="Yes",", Set Teacher","")&amp;IF('Visit Log'!BJ117="Yes",", Sound","")&amp;IF('Visit Log'!BK117="Yes",", SPFX","")&amp;IF('Visit Log'!BL117="Yes",", Video",""),3,300)))</f>
        <v/>
      </c>
      <c r="F117" s="32">
        <f>IF('Visit Log'!C117="","",'Visit Log'!T117)</f>
        <v/>
      </c>
    </row>
    <row r="118">
      <c r="A118" s="28">
        <f>IF('Visit Log'!C118="","",'Visit Log'!A118)</f>
        <v/>
      </c>
      <c r="B118" s="28">
        <f>IF('Visit Log'!C118="","",'Visit Log'!C118)</f>
        <v/>
      </c>
      <c r="C118" s="28">
        <f>IF('Visit Log'!C118="","",'Visit Log'!D118)</f>
        <v/>
      </c>
      <c r="D118" s="29">
        <f>IF('Visit Log'!C118="","",'Visit Log'!B118)</f>
        <v/>
      </c>
      <c r="E118" s="28">
        <f>IF('Visit Log'!C118="","",IF((IF('Visit Log'!AV118="Yes",", Art","")&amp;IF('Visit Log'!AW118="Yes",", Construction","")&amp;IF('Visit Log'!AX118="Yes",", Costumes","")&amp;IF('Visit Log'!AY118="Yes",", Craft Service","")&amp;IF('Visit Log'!AZ118="Yes",", Electrical","")&amp;IF('Visit Log'!BA118="Yes",", Greens","")&amp;IF('Visit Log'!BB118="Yes",", Grip","")&amp;IF('Visit Log'!BC118="Yes",", Locations","")&amp;IF('Visit Log'!BD118="Yes",", Medic","")&amp;IF('Visit Log'!BE118="Yes",", Paint","")&amp;IF('Visit Log'!BF118="Yes",", Plaster","")&amp;IF('Visit Log'!BG118="Yes",", Props","")&amp;IF('Visit Log'!BH118="Yes",", Set Dec","")&amp;IF('Visit Log'!BI118="Yes",", Set Teacher","")&amp;IF('Visit Log'!BJ118="Yes",", Sound","")&amp;IF('Visit Log'!BK118="Yes",", SPFX","")&amp;IF('Visit Log'!BL118="Yes",", Video",""))="","",MID(IF('Visit Log'!AV118="Yes",", Art","")&amp;IF('Visit Log'!AW118="Yes",", Construction","")&amp;IF('Visit Log'!AX118="Yes",", Costumes","")&amp;IF('Visit Log'!AY118="Yes",", Craft Service","")&amp;IF('Visit Log'!AZ118="Yes",", Electrical","")&amp;IF('Visit Log'!BA118="Yes",", Greens","")&amp;IF('Visit Log'!BB118="Yes",", Grip","")&amp;IF('Visit Log'!BC118="Yes",", Locations","")&amp;IF('Visit Log'!BD118="Yes",", Medic","")&amp;IF('Visit Log'!BE118="Yes",", Paint","")&amp;IF('Visit Log'!BF118="Yes",", Plaster","")&amp;IF('Visit Log'!BG118="Yes",", Props","")&amp;IF('Visit Log'!BH118="Yes",", Set Dec","")&amp;IF('Visit Log'!BI118="Yes",", Set Teacher","")&amp;IF('Visit Log'!BJ118="Yes",", Sound","")&amp;IF('Visit Log'!BK118="Yes",", SPFX","")&amp;IF('Visit Log'!BL118="Yes",", Video",""),3,300)))</f>
        <v/>
      </c>
      <c r="F118" s="28">
        <f>IF('Visit Log'!C118="","",'Visit Log'!T118)</f>
        <v/>
      </c>
    </row>
    <row r="119">
      <c r="A119" s="32">
        <f>IF('Visit Log'!C119="","",'Visit Log'!A119)</f>
        <v/>
      </c>
      <c r="B119" s="32">
        <f>IF('Visit Log'!C119="","",'Visit Log'!C119)</f>
        <v/>
      </c>
      <c r="C119" s="32">
        <f>IF('Visit Log'!C119="","",'Visit Log'!D119)</f>
        <v/>
      </c>
      <c r="D119" s="33">
        <f>IF('Visit Log'!C119="","",'Visit Log'!B119)</f>
        <v/>
      </c>
      <c r="E119" s="32">
        <f>IF('Visit Log'!C119="","",IF((IF('Visit Log'!AV119="Yes",", Art","")&amp;IF('Visit Log'!AW119="Yes",", Construction","")&amp;IF('Visit Log'!AX119="Yes",", Costumes","")&amp;IF('Visit Log'!AY119="Yes",", Craft Service","")&amp;IF('Visit Log'!AZ119="Yes",", Electrical","")&amp;IF('Visit Log'!BA119="Yes",", Greens","")&amp;IF('Visit Log'!BB119="Yes",", Grip","")&amp;IF('Visit Log'!BC119="Yes",", Locations","")&amp;IF('Visit Log'!BD119="Yes",", Medic","")&amp;IF('Visit Log'!BE119="Yes",", Paint","")&amp;IF('Visit Log'!BF119="Yes",", Plaster","")&amp;IF('Visit Log'!BG119="Yes",", Props","")&amp;IF('Visit Log'!BH119="Yes",", Set Dec","")&amp;IF('Visit Log'!BI119="Yes",", Set Teacher","")&amp;IF('Visit Log'!BJ119="Yes",", Sound","")&amp;IF('Visit Log'!BK119="Yes",", SPFX","")&amp;IF('Visit Log'!BL119="Yes",", Video",""))="","",MID(IF('Visit Log'!AV119="Yes",", Art","")&amp;IF('Visit Log'!AW119="Yes",", Construction","")&amp;IF('Visit Log'!AX119="Yes",", Costumes","")&amp;IF('Visit Log'!AY119="Yes",", Craft Service","")&amp;IF('Visit Log'!AZ119="Yes",", Electrical","")&amp;IF('Visit Log'!BA119="Yes",", Greens","")&amp;IF('Visit Log'!BB119="Yes",", Grip","")&amp;IF('Visit Log'!BC119="Yes",", Locations","")&amp;IF('Visit Log'!BD119="Yes",", Medic","")&amp;IF('Visit Log'!BE119="Yes",", Paint","")&amp;IF('Visit Log'!BF119="Yes",", Plaster","")&amp;IF('Visit Log'!BG119="Yes",", Props","")&amp;IF('Visit Log'!BH119="Yes",", Set Dec","")&amp;IF('Visit Log'!BI119="Yes",", Set Teacher","")&amp;IF('Visit Log'!BJ119="Yes",", Sound","")&amp;IF('Visit Log'!BK119="Yes",", SPFX","")&amp;IF('Visit Log'!BL119="Yes",", Video",""),3,300)))</f>
        <v/>
      </c>
      <c r="F119" s="32">
        <f>IF('Visit Log'!C119="","",'Visit Log'!T119)</f>
        <v/>
      </c>
    </row>
    <row r="120">
      <c r="A120" s="28">
        <f>IF('Visit Log'!C120="","",'Visit Log'!A120)</f>
        <v/>
      </c>
      <c r="B120" s="28">
        <f>IF('Visit Log'!C120="","",'Visit Log'!C120)</f>
        <v/>
      </c>
      <c r="C120" s="28">
        <f>IF('Visit Log'!C120="","",'Visit Log'!D120)</f>
        <v/>
      </c>
      <c r="D120" s="29">
        <f>IF('Visit Log'!C120="","",'Visit Log'!B120)</f>
        <v/>
      </c>
      <c r="E120" s="28">
        <f>IF('Visit Log'!C120="","",IF((IF('Visit Log'!AV120="Yes",", Art","")&amp;IF('Visit Log'!AW120="Yes",", Construction","")&amp;IF('Visit Log'!AX120="Yes",", Costumes","")&amp;IF('Visit Log'!AY120="Yes",", Craft Service","")&amp;IF('Visit Log'!AZ120="Yes",", Electrical","")&amp;IF('Visit Log'!BA120="Yes",", Greens","")&amp;IF('Visit Log'!BB120="Yes",", Grip","")&amp;IF('Visit Log'!BC120="Yes",", Locations","")&amp;IF('Visit Log'!BD120="Yes",", Medic","")&amp;IF('Visit Log'!BE120="Yes",", Paint","")&amp;IF('Visit Log'!BF120="Yes",", Plaster","")&amp;IF('Visit Log'!BG120="Yes",", Props","")&amp;IF('Visit Log'!BH120="Yes",", Set Dec","")&amp;IF('Visit Log'!BI120="Yes",", Set Teacher","")&amp;IF('Visit Log'!BJ120="Yes",", Sound","")&amp;IF('Visit Log'!BK120="Yes",", SPFX","")&amp;IF('Visit Log'!BL120="Yes",", Video",""))="","",MID(IF('Visit Log'!AV120="Yes",", Art","")&amp;IF('Visit Log'!AW120="Yes",", Construction","")&amp;IF('Visit Log'!AX120="Yes",", Costumes","")&amp;IF('Visit Log'!AY120="Yes",", Craft Service","")&amp;IF('Visit Log'!AZ120="Yes",", Electrical","")&amp;IF('Visit Log'!BA120="Yes",", Greens","")&amp;IF('Visit Log'!BB120="Yes",", Grip","")&amp;IF('Visit Log'!BC120="Yes",", Locations","")&amp;IF('Visit Log'!BD120="Yes",", Medic","")&amp;IF('Visit Log'!BE120="Yes",", Paint","")&amp;IF('Visit Log'!BF120="Yes",", Plaster","")&amp;IF('Visit Log'!BG120="Yes",", Props","")&amp;IF('Visit Log'!BH120="Yes",", Set Dec","")&amp;IF('Visit Log'!BI120="Yes",", Set Teacher","")&amp;IF('Visit Log'!BJ120="Yes",", Sound","")&amp;IF('Visit Log'!BK120="Yes",", SPFX","")&amp;IF('Visit Log'!BL120="Yes",", Video",""),3,300)))</f>
        <v/>
      </c>
      <c r="F120" s="28">
        <f>IF('Visit Log'!C120="","",'Visit Log'!T120)</f>
        <v/>
      </c>
    </row>
    <row r="121">
      <c r="A121" s="32">
        <f>IF('Visit Log'!C121="","",'Visit Log'!A121)</f>
        <v/>
      </c>
      <c r="B121" s="32">
        <f>IF('Visit Log'!C121="","",'Visit Log'!C121)</f>
        <v/>
      </c>
      <c r="C121" s="32">
        <f>IF('Visit Log'!C121="","",'Visit Log'!D121)</f>
        <v/>
      </c>
      <c r="D121" s="33">
        <f>IF('Visit Log'!C121="","",'Visit Log'!B121)</f>
        <v/>
      </c>
      <c r="E121" s="32">
        <f>IF('Visit Log'!C121="","",IF((IF('Visit Log'!AV121="Yes",", Art","")&amp;IF('Visit Log'!AW121="Yes",", Construction","")&amp;IF('Visit Log'!AX121="Yes",", Costumes","")&amp;IF('Visit Log'!AY121="Yes",", Craft Service","")&amp;IF('Visit Log'!AZ121="Yes",", Electrical","")&amp;IF('Visit Log'!BA121="Yes",", Greens","")&amp;IF('Visit Log'!BB121="Yes",", Grip","")&amp;IF('Visit Log'!BC121="Yes",", Locations","")&amp;IF('Visit Log'!BD121="Yes",", Medic","")&amp;IF('Visit Log'!BE121="Yes",", Paint","")&amp;IF('Visit Log'!BF121="Yes",", Plaster","")&amp;IF('Visit Log'!BG121="Yes",", Props","")&amp;IF('Visit Log'!BH121="Yes",", Set Dec","")&amp;IF('Visit Log'!BI121="Yes",", Set Teacher","")&amp;IF('Visit Log'!BJ121="Yes",", Sound","")&amp;IF('Visit Log'!BK121="Yes",", SPFX","")&amp;IF('Visit Log'!BL121="Yes",", Video",""))="","",MID(IF('Visit Log'!AV121="Yes",", Art","")&amp;IF('Visit Log'!AW121="Yes",", Construction","")&amp;IF('Visit Log'!AX121="Yes",", Costumes","")&amp;IF('Visit Log'!AY121="Yes",", Craft Service","")&amp;IF('Visit Log'!AZ121="Yes",", Electrical","")&amp;IF('Visit Log'!BA121="Yes",", Greens","")&amp;IF('Visit Log'!BB121="Yes",", Grip","")&amp;IF('Visit Log'!BC121="Yes",", Locations","")&amp;IF('Visit Log'!BD121="Yes",", Medic","")&amp;IF('Visit Log'!BE121="Yes",", Paint","")&amp;IF('Visit Log'!BF121="Yes",", Plaster","")&amp;IF('Visit Log'!BG121="Yes",", Props","")&amp;IF('Visit Log'!BH121="Yes",", Set Dec","")&amp;IF('Visit Log'!BI121="Yes",", Set Teacher","")&amp;IF('Visit Log'!BJ121="Yes",", Sound","")&amp;IF('Visit Log'!BK121="Yes",", SPFX","")&amp;IF('Visit Log'!BL121="Yes",", Video",""),3,300)))</f>
        <v/>
      </c>
      <c r="F121" s="32">
        <f>IF('Visit Log'!C121="","",'Visit Log'!T121)</f>
        <v/>
      </c>
    </row>
    <row r="122">
      <c r="A122" s="28">
        <f>IF('Visit Log'!C122="","",'Visit Log'!A122)</f>
        <v/>
      </c>
      <c r="B122" s="28">
        <f>IF('Visit Log'!C122="","",'Visit Log'!C122)</f>
        <v/>
      </c>
      <c r="C122" s="28">
        <f>IF('Visit Log'!C122="","",'Visit Log'!D122)</f>
        <v/>
      </c>
      <c r="D122" s="29">
        <f>IF('Visit Log'!C122="","",'Visit Log'!B122)</f>
        <v/>
      </c>
      <c r="E122" s="28">
        <f>IF('Visit Log'!C122="","",IF((IF('Visit Log'!AV122="Yes",", Art","")&amp;IF('Visit Log'!AW122="Yes",", Construction","")&amp;IF('Visit Log'!AX122="Yes",", Costumes","")&amp;IF('Visit Log'!AY122="Yes",", Craft Service","")&amp;IF('Visit Log'!AZ122="Yes",", Electrical","")&amp;IF('Visit Log'!BA122="Yes",", Greens","")&amp;IF('Visit Log'!BB122="Yes",", Grip","")&amp;IF('Visit Log'!BC122="Yes",", Locations","")&amp;IF('Visit Log'!BD122="Yes",", Medic","")&amp;IF('Visit Log'!BE122="Yes",", Paint","")&amp;IF('Visit Log'!BF122="Yes",", Plaster","")&amp;IF('Visit Log'!BG122="Yes",", Props","")&amp;IF('Visit Log'!BH122="Yes",", Set Dec","")&amp;IF('Visit Log'!BI122="Yes",", Set Teacher","")&amp;IF('Visit Log'!BJ122="Yes",", Sound","")&amp;IF('Visit Log'!BK122="Yes",", SPFX","")&amp;IF('Visit Log'!BL122="Yes",", Video",""))="","",MID(IF('Visit Log'!AV122="Yes",", Art","")&amp;IF('Visit Log'!AW122="Yes",", Construction","")&amp;IF('Visit Log'!AX122="Yes",", Costumes","")&amp;IF('Visit Log'!AY122="Yes",", Craft Service","")&amp;IF('Visit Log'!AZ122="Yes",", Electrical","")&amp;IF('Visit Log'!BA122="Yes",", Greens","")&amp;IF('Visit Log'!BB122="Yes",", Grip","")&amp;IF('Visit Log'!BC122="Yes",", Locations","")&amp;IF('Visit Log'!BD122="Yes",", Medic","")&amp;IF('Visit Log'!BE122="Yes",", Paint","")&amp;IF('Visit Log'!BF122="Yes",", Plaster","")&amp;IF('Visit Log'!BG122="Yes",", Props","")&amp;IF('Visit Log'!BH122="Yes",", Set Dec","")&amp;IF('Visit Log'!BI122="Yes",", Set Teacher","")&amp;IF('Visit Log'!BJ122="Yes",", Sound","")&amp;IF('Visit Log'!BK122="Yes",", SPFX","")&amp;IF('Visit Log'!BL122="Yes",", Video",""),3,300)))</f>
        <v/>
      </c>
      <c r="F122" s="28">
        <f>IF('Visit Log'!C122="","",'Visit Log'!T122)</f>
        <v/>
      </c>
    </row>
    <row r="123">
      <c r="A123" s="32">
        <f>IF('Visit Log'!C123="","",'Visit Log'!A123)</f>
        <v/>
      </c>
      <c r="B123" s="32">
        <f>IF('Visit Log'!C123="","",'Visit Log'!C123)</f>
        <v/>
      </c>
      <c r="C123" s="32">
        <f>IF('Visit Log'!C123="","",'Visit Log'!D123)</f>
        <v/>
      </c>
      <c r="D123" s="33">
        <f>IF('Visit Log'!C123="","",'Visit Log'!B123)</f>
        <v/>
      </c>
      <c r="E123" s="32">
        <f>IF('Visit Log'!C123="","",IF((IF('Visit Log'!AV123="Yes",", Art","")&amp;IF('Visit Log'!AW123="Yes",", Construction","")&amp;IF('Visit Log'!AX123="Yes",", Costumes","")&amp;IF('Visit Log'!AY123="Yes",", Craft Service","")&amp;IF('Visit Log'!AZ123="Yes",", Electrical","")&amp;IF('Visit Log'!BA123="Yes",", Greens","")&amp;IF('Visit Log'!BB123="Yes",", Grip","")&amp;IF('Visit Log'!BC123="Yes",", Locations","")&amp;IF('Visit Log'!BD123="Yes",", Medic","")&amp;IF('Visit Log'!BE123="Yes",", Paint","")&amp;IF('Visit Log'!BF123="Yes",", Plaster","")&amp;IF('Visit Log'!BG123="Yes",", Props","")&amp;IF('Visit Log'!BH123="Yes",", Set Dec","")&amp;IF('Visit Log'!BI123="Yes",", Set Teacher","")&amp;IF('Visit Log'!BJ123="Yes",", Sound","")&amp;IF('Visit Log'!BK123="Yes",", SPFX","")&amp;IF('Visit Log'!BL123="Yes",", Video",""))="","",MID(IF('Visit Log'!AV123="Yes",", Art","")&amp;IF('Visit Log'!AW123="Yes",", Construction","")&amp;IF('Visit Log'!AX123="Yes",", Costumes","")&amp;IF('Visit Log'!AY123="Yes",", Craft Service","")&amp;IF('Visit Log'!AZ123="Yes",", Electrical","")&amp;IF('Visit Log'!BA123="Yes",", Greens","")&amp;IF('Visit Log'!BB123="Yes",", Grip","")&amp;IF('Visit Log'!BC123="Yes",", Locations","")&amp;IF('Visit Log'!BD123="Yes",", Medic","")&amp;IF('Visit Log'!BE123="Yes",", Paint","")&amp;IF('Visit Log'!BF123="Yes",", Plaster","")&amp;IF('Visit Log'!BG123="Yes",", Props","")&amp;IF('Visit Log'!BH123="Yes",", Set Dec","")&amp;IF('Visit Log'!BI123="Yes",", Set Teacher","")&amp;IF('Visit Log'!BJ123="Yes",", Sound","")&amp;IF('Visit Log'!BK123="Yes",", SPFX","")&amp;IF('Visit Log'!BL123="Yes",", Video",""),3,300)))</f>
        <v/>
      </c>
      <c r="F123" s="32">
        <f>IF('Visit Log'!C123="","",'Visit Log'!T123)</f>
        <v/>
      </c>
    </row>
    <row r="124">
      <c r="A124" s="28">
        <f>IF('Visit Log'!C124="","",'Visit Log'!A124)</f>
        <v/>
      </c>
      <c r="B124" s="28">
        <f>IF('Visit Log'!C124="","",'Visit Log'!C124)</f>
        <v/>
      </c>
      <c r="C124" s="28">
        <f>IF('Visit Log'!C124="","",'Visit Log'!D124)</f>
        <v/>
      </c>
      <c r="D124" s="29">
        <f>IF('Visit Log'!C124="","",'Visit Log'!B124)</f>
        <v/>
      </c>
      <c r="E124" s="28">
        <f>IF('Visit Log'!C124="","",IF((IF('Visit Log'!AV124="Yes",", Art","")&amp;IF('Visit Log'!AW124="Yes",", Construction","")&amp;IF('Visit Log'!AX124="Yes",", Costumes","")&amp;IF('Visit Log'!AY124="Yes",", Craft Service","")&amp;IF('Visit Log'!AZ124="Yes",", Electrical","")&amp;IF('Visit Log'!BA124="Yes",", Greens","")&amp;IF('Visit Log'!BB124="Yes",", Grip","")&amp;IF('Visit Log'!BC124="Yes",", Locations","")&amp;IF('Visit Log'!BD124="Yes",", Medic","")&amp;IF('Visit Log'!BE124="Yes",", Paint","")&amp;IF('Visit Log'!BF124="Yes",", Plaster","")&amp;IF('Visit Log'!BG124="Yes",", Props","")&amp;IF('Visit Log'!BH124="Yes",", Set Dec","")&amp;IF('Visit Log'!BI124="Yes",", Set Teacher","")&amp;IF('Visit Log'!BJ124="Yes",", Sound","")&amp;IF('Visit Log'!BK124="Yes",", SPFX","")&amp;IF('Visit Log'!BL124="Yes",", Video",""))="","",MID(IF('Visit Log'!AV124="Yes",", Art","")&amp;IF('Visit Log'!AW124="Yes",", Construction","")&amp;IF('Visit Log'!AX124="Yes",", Costumes","")&amp;IF('Visit Log'!AY124="Yes",", Craft Service","")&amp;IF('Visit Log'!AZ124="Yes",", Electrical","")&amp;IF('Visit Log'!BA124="Yes",", Greens","")&amp;IF('Visit Log'!BB124="Yes",", Grip","")&amp;IF('Visit Log'!BC124="Yes",", Locations","")&amp;IF('Visit Log'!BD124="Yes",", Medic","")&amp;IF('Visit Log'!BE124="Yes",", Paint","")&amp;IF('Visit Log'!BF124="Yes",", Plaster","")&amp;IF('Visit Log'!BG124="Yes",", Props","")&amp;IF('Visit Log'!BH124="Yes",", Set Dec","")&amp;IF('Visit Log'!BI124="Yes",", Set Teacher","")&amp;IF('Visit Log'!BJ124="Yes",", Sound","")&amp;IF('Visit Log'!BK124="Yes",", SPFX","")&amp;IF('Visit Log'!BL124="Yes",", Video",""),3,300)))</f>
        <v/>
      </c>
      <c r="F124" s="28">
        <f>IF('Visit Log'!C124="","",'Visit Log'!T124)</f>
        <v/>
      </c>
    </row>
    <row r="125">
      <c r="A125" s="32">
        <f>IF('Visit Log'!C125="","",'Visit Log'!A125)</f>
        <v/>
      </c>
      <c r="B125" s="32">
        <f>IF('Visit Log'!C125="","",'Visit Log'!C125)</f>
        <v/>
      </c>
      <c r="C125" s="32">
        <f>IF('Visit Log'!C125="","",'Visit Log'!D125)</f>
        <v/>
      </c>
      <c r="D125" s="33">
        <f>IF('Visit Log'!C125="","",'Visit Log'!B125)</f>
        <v/>
      </c>
      <c r="E125" s="32">
        <f>IF('Visit Log'!C125="","",IF((IF('Visit Log'!AV125="Yes",", Art","")&amp;IF('Visit Log'!AW125="Yes",", Construction","")&amp;IF('Visit Log'!AX125="Yes",", Costumes","")&amp;IF('Visit Log'!AY125="Yes",", Craft Service","")&amp;IF('Visit Log'!AZ125="Yes",", Electrical","")&amp;IF('Visit Log'!BA125="Yes",", Greens","")&amp;IF('Visit Log'!BB125="Yes",", Grip","")&amp;IF('Visit Log'!BC125="Yes",", Locations","")&amp;IF('Visit Log'!BD125="Yes",", Medic","")&amp;IF('Visit Log'!BE125="Yes",", Paint","")&amp;IF('Visit Log'!BF125="Yes",", Plaster","")&amp;IF('Visit Log'!BG125="Yes",", Props","")&amp;IF('Visit Log'!BH125="Yes",", Set Dec","")&amp;IF('Visit Log'!BI125="Yes",", Set Teacher","")&amp;IF('Visit Log'!BJ125="Yes",", Sound","")&amp;IF('Visit Log'!BK125="Yes",", SPFX","")&amp;IF('Visit Log'!BL125="Yes",", Video",""))="","",MID(IF('Visit Log'!AV125="Yes",", Art","")&amp;IF('Visit Log'!AW125="Yes",", Construction","")&amp;IF('Visit Log'!AX125="Yes",", Costumes","")&amp;IF('Visit Log'!AY125="Yes",", Craft Service","")&amp;IF('Visit Log'!AZ125="Yes",", Electrical","")&amp;IF('Visit Log'!BA125="Yes",", Greens","")&amp;IF('Visit Log'!BB125="Yes",", Grip","")&amp;IF('Visit Log'!BC125="Yes",", Locations","")&amp;IF('Visit Log'!BD125="Yes",", Medic","")&amp;IF('Visit Log'!BE125="Yes",", Paint","")&amp;IF('Visit Log'!BF125="Yes",", Plaster","")&amp;IF('Visit Log'!BG125="Yes",", Props","")&amp;IF('Visit Log'!BH125="Yes",", Set Dec","")&amp;IF('Visit Log'!BI125="Yes",", Set Teacher","")&amp;IF('Visit Log'!BJ125="Yes",", Sound","")&amp;IF('Visit Log'!BK125="Yes",", SPFX","")&amp;IF('Visit Log'!BL125="Yes",", Video",""),3,300)))</f>
        <v/>
      </c>
      <c r="F125" s="32">
        <f>IF('Visit Log'!C125="","",'Visit Log'!T125)</f>
        <v/>
      </c>
    </row>
    <row r="126">
      <c r="A126" s="28">
        <f>IF('Visit Log'!C126="","",'Visit Log'!A126)</f>
        <v/>
      </c>
      <c r="B126" s="28">
        <f>IF('Visit Log'!C126="","",'Visit Log'!C126)</f>
        <v/>
      </c>
      <c r="C126" s="28">
        <f>IF('Visit Log'!C126="","",'Visit Log'!D126)</f>
        <v/>
      </c>
      <c r="D126" s="29">
        <f>IF('Visit Log'!C126="","",'Visit Log'!B126)</f>
        <v/>
      </c>
      <c r="E126" s="28">
        <f>IF('Visit Log'!C126="","",IF((IF('Visit Log'!AV126="Yes",", Art","")&amp;IF('Visit Log'!AW126="Yes",", Construction","")&amp;IF('Visit Log'!AX126="Yes",", Costumes","")&amp;IF('Visit Log'!AY126="Yes",", Craft Service","")&amp;IF('Visit Log'!AZ126="Yes",", Electrical","")&amp;IF('Visit Log'!BA126="Yes",", Greens","")&amp;IF('Visit Log'!BB126="Yes",", Grip","")&amp;IF('Visit Log'!BC126="Yes",", Locations","")&amp;IF('Visit Log'!BD126="Yes",", Medic","")&amp;IF('Visit Log'!BE126="Yes",", Paint","")&amp;IF('Visit Log'!BF126="Yes",", Plaster","")&amp;IF('Visit Log'!BG126="Yes",", Props","")&amp;IF('Visit Log'!BH126="Yes",", Set Dec","")&amp;IF('Visit Log'!BI126="Yes",", Set Teacher","")&amp;IF('Visit Log'!BJ126="Yes",", Sound","")&amp;IF('Visit Log'!BK126="Yes",", SPFX","")&amp;IF('Visit Log'!BL126="Yes",", Video",""))="","",MID(IF('Visit Log'!AV126="Yes",", Art","")&amp;IF('Visit Log'!AW126="Yes",", Construction","")&amp;IF('Visit Log'!AX126="Yes",", Costumes","")&amp;IF('Visit Log'!AY126="Yes",", Craft Service","")&amp;IF('Visit Log'!AZ126="Yes",", Electrical","")&amp;IF('Visit Log'!BA126="Yes",", Greens","")&amp;IF('Visit Log'!BB126="Yes",", Grip","")&amp;IF('Visit Log'!BC126="Yes",", Locations","")&amp;IF('Visit Log'!BD126="Yes",", Medic","")&amp;IF('Visit Log'!BE126="Yes",", Paint","")&amp;IF('Visit Log'!BF126="Yes",", Plaster","")&amp;IF('Visit Log'!BG126="Yes",", Props","")&amp;IF('Visit Log'!BH126="Yes",", Set Dec","")&amp;IF('Visit Log'!BI126="Yes",", Set Teacher","")&amp;IF('Visit Log'!BJ126="Yes",", Sound","")&amp;IF('Visit Log'!BK126="Yes",", SPFX","")&amp;IF('Visit Log'!BL126="Yes",", Video",""),3,300)))</f>
        <v/>
      </c>
      <c r="F126" s="28">
        <f>IF('Visit Log'!C126="","",'Visit Log'!T126)</f>
        <v/>
      </c>
    </row>
    <row r="127">
      <c r="A127" s="32">
        <f>IF('Visit Log'!C127="","",'Visit Log'!A127)</f>
        <v/>
      </c>
      <c r="B127" s="32">
        <f>IF('Visit Log'!C127="","",'Visit Log'!C127)</f>
        <v/>
      </c>
      <c r="C127" s="32">
        <f>IF('Visit Log'!C127="","",'Visit Log'!D127)</f>
        <v/>
      </c>
      <c r="D127" s="33">
        <f>IF('Visit Log'!C127="","",'Visit Log'!B127)</f>
        <v/>
      </c>
      <c r="E127" s="32">
        <f>IF('Visit Log'!C127="","",IF((IF('Visit Log'!AV127="Yes",", Art","")&amp;IF('Visit Log'!AW127="Yes",", Construction","")&amp;IF('Visit Log'!AX127="Yes",", Costumes","")&amp;IF('Visit Log'!AY127="Yes",", Craft Service","")&amp;IF('Visit Log'!AZ127="Yes",", Electrical","")&amp;IF('Visit Log'!BA127="Yes",", Greens","")&amp;IF('Visit Log'!BB127="Yes",", Grip","")&amp;IF('Visit Log'!BC127="Yes",", Locations","")&amp;IF('Visit Log'!BD127="Yes",", Medic","")&amp;IF('Visit Log'!BE127="Yes",", Paint","")&amp;IF('Visit Log'!BF127="Yes",", Plaster","")&amp;IF('Visit Log'!BG127="Yes",", Props","")&amp;IF('Visit Log'!BH127="Yes",", Set Dec","")&amp;IF('Visit Log'!BI127="Yes",", Set Teacher","")&amp;IF('Visit Log'!BJ127="Yes",", Sound","")&amp;IF('Visit Log'!BK127="Yes",", SPFX","")&amp;IF('Visit Log'!BL127="Yes",", Video",""))="","",MID(IF('Visit Log'!AV127="Yes",", Art","")&amp;IF('Visit Log'!AW127="Yes",", Construction","")&amp;IF('Visit Log'!AX127="Yes",", Costumes","")&amp;IF('Visit Log'!AY127="Yes",", Craft Service","")&amp;IF('Visit Log'!AZ127="Yes",", Electrical","")&amp;IF('Visit Log'!BA127="Yes",", Greens","")&amp;IF('Visit Log'!BB127="Yes",", Grip","")&amp;IF('Visit Log'!BC127="Yes",", Locations","")&amp;IF('Visit Log'!BD127="Yes",", Medic","")&amp;IF('Visit Log'!BE127="Yes",", Paint","")&amp;IF('Visit Log'!BF127="Yes",", Plaster","")&amp;IF('Visit Log'!BG127="Yes",", Props","")&amp;IF('Visit Log'!BH127="Yes",", Set Dec","")&amp;IF('Visit Log'!BI127="Yes",", Set Teacher","")&amp;IF('Visit Log'!BJ127="Yes",", Sound","")&amp;IF('Visit Log'!BK127="Yes",", SPFX","")&amp;IF('Visit Log'!BL127="Yes",", Video",""),3,300)))</f>
        <v/>
      </c>
      <c r="F127" s="32">
        <f>IF('Visit Log'!C127="","",'Visit Log'!T127)</f>
        <v/>
      </c>
    </row>
    <row r="128">
      <c r="A128" s="28">
        <f>IF('Visit Log'!C128="","",'Visit Log'!A128)</f>
        <v/>
      </c>
      <c r="B128" s="28">
        <f>IF('Visit Log'!C128="","",'Visit Log'!C128)</f>
        <v/>
      </c>
      <c r="C128" s="28">
        <f>IF('Visit Log'!C128="","",'Visit Log'!D128)</f>
        <v/>
      </c>
      <c r="D128" s="29">
        <f>IF('Visit Log'!C128="","",'Visit Log'!B128)</f>
        <v/>
      </c>
      <c r="E128" s="28">
        <f>IF('Visit Log'!C128="","",IF((IF('Visit Log'!AV128="Yes",", Art","")&amp;IF('Visit Log'!AW128="Yes",", Construction","")&amp;IF('Visit Log'!AX128="Yes",", Costumes","")&amp;IF('Visit Log'!AY128="Yes",", Craft Service","")&amp;IF('Visit Log'!AZ128="Yes",", Electrical","")&amp;IF('Visit Log'!BA128="Yes",", Greens","")&amp;IF('Visit Log'!BB128="Yes",", Grip","")&amp;IF('Visit Log'!BC128="Yes",", Locations","")&amp;IF('Visit Log'!BD128="Yes",", Medic","")&amp;IF('Visit Log'!BE128="Yes",", Paint","")&amp;IF('Visit Log'!BF128="Yes",", Plaster","")&amp;IF('Visit Log'!BG128="Yes",", Props","")&amp;IF('Visit Log'!BH128="Yes",", Set Dec","")&amp;IF('Visit Log'!BI128="Yes",", Set Teacher","")&amp;IF('Visit Log'!BJ128="Yes",", Sound","")&amp;IF('Visit Log'!BK128="Yes",", SPFX","")&amp;IF('Visit Log'!BL128="Yes",", Video",""))="","",MID(IF('Visit Log'!AV128="Yes",", Art","")&amp;IF('Visit Log'!AW128="Yes",", Construction","")&amp;IF('Visit Log'!AX128="Yes",", Costumes","")&amp;IF('Visit Log'!AY128="Yes",", Craft Service","")&amp;IF('Visit Log'!AZ128="Yes",", Electrical","")&amp;IF('Visit Log'!BA128="Yes",", Greens","")&amp;IF('Visit Log'!BB128="Yes",", Grip","")&amp;IF('Visit Log'!BC128="Yes",", Locations","")&amp;IF('Visit Log'!BD128="Yes",", Medic","")&amp;IF('Visit Log'!BE128="Yes",", Paint","")&amp;IF('Visit Log'!BF128="Yes",", Plaster","")&amp;IF('Visit Log'!BG128="Yes",", Props","")&amp;IF('Visit Log'!BH128="Yes",", Set Dec","")&amp;IF('Visit Log'!BI128="Yes",", Set Teacher","")&amp;IF('Visit Log'!BJ128="Yes",", Sound","")&amp;IF('Visit Log'!BK128="Yes",", SPFX","")&amp;IF('Visit Log'!BL128="Yes",", Video",""),3,300)))</f>
        <v/>
      </c>
      <c r="F128" s="28">
        <f>IF('Visit Log'!C128="","",'Visit Log'!T128)</f>
        <v/>
      </c>
    </row>
    <row r="129">
      <c r="A129" s="32">
        <f>IF('Visit Log'!C129="","",'Visit Log'!A129)</f>
        <v/>
      </c>
      <c r="B129" s="32">
        <f>IF('Visit Log'!C129="","",'Visit Log'!C129)</f>
        <v/>
      </c>
      <c r="C129" s="32">
        <f>IF('Visit Log'!C129="","",'Visit Log'!D129)</f>
        <v/>
      </c>
      <c r="D129" s="33">
        <f>IF('Visit Log'!C129="","",'Visit Log'!B129)</f>
        <v/>
      </c>
      <c r="E129" s="32">
        <f>IF('Visit Log'!C129="","",IF((IF('Visit Log'!AV129="Yes",", Art","")&amp;IF('Visit Log'!AW129="Yes",", Construction","")&amp;IF('Visit Log'!AX129="Yes",", Costumes","")&amp;IF('Visit Log'!AY129="Yes",", Craft Service","")&amp;IF('Visit Log'!AZ129="Yes",", Electrical","")&amp;IF('Visit Log'!BA129="Yes",", Greens","")&amp;IF('Visit Log'!BB129="Yes",", Grip","")&amp;IF('Visit Log'!BC129="Yes",", Locations","")&amp;IF('Visit Log'!BD129="Yes",", Medic","")&amp;IF('Visit Log'!BE129="Yes",", Paint","")&amp;IF('Visit Log'!BF129="Yes",", Plaster","")&amp;IF('Visit Log'!BG129="Yes",", Props","")&amp;IF('Visit Log'!BH129="Yes",", Set Dec","")&amp;IF('Visit Log'!BI129="Yes",", Set Teacher","")&amp;IF('Visit Log'!BJ129="Yes",", Sound","")&amp;IF('Visit Log'!BK129="Yes",", SPFX","")&amp;IF('Visit Log'!BL129="Yes",", Video",""))="","",MID(IF('Visit Log'!AV129="Yes",", Art","")&amp;IF('Visit Log'!AW129="Yes",", Construction","")&amp;IF('Visit Log'!AX129="Yes",", Costumes","")&amp;IF('Visit Log'!AY129="Yes",", Craft Service","")&amp;IF('Visit Log'!AZ129="Yes",", Electrical","")&amp;IF('Visit Log'!BA129="Yes",", Greens","")&amp;IF('Visit Log'!BB129="Yes",", Grip","")&amp;IF('Visit Log'!BC129="Yes",", Locations","")&amp;IF('Visit Log'!BD129="Yes",", Medic","")&amp;IF('Visit Log'!BE129="Yes",", Paint","")&amp;IF('Visit Log'!BF129="Yes",", Plaster","")&amp;IF('Visit Log'!BG129="Yes",", Props","")&amp;IF('Visit Log'!BH129="Yes",", Set Dec","")&amp;IF('Visit Log'!BI129="Yes",", Set Teacher","")&amp;IF('Visit Log'!BJ129="Yes",", Sound","")&amp;IF('Visit Log'!BK129="Yes",", SPFX","")&amp;IF('Visit Log'!BL129="Yes",", Video",""),3,300)))</f>
        <v/>
      </c>
      <c r="F129" s="32">
        <f>IF('Visit Log'!C129="","",'Visit Log'!T129)</f>
        <v/>
      </c>
    </row>
    <row r="130">
      <c r="A130" s="28">
        <f>IF('Visit Log'!C130="","",'Visit Log'!A130)</f>
        <v/>
      </c>
      <c r="B130" s="28">
        <f>IF('Visit Log'!C130="","",'Visit Log'!C130)</f>
        <v/>
      </c>
      <c r="C130" s="28">
        <f>IF('Visit Log'!C130="","",'Visit Log'!D130)</f>
        <v/>
      </c>
      <c r="D130" s="29">
        <f>IF('Visit Log'!C130="","",'Visit Log'!B130)</f>
        <v/>
      </c>
      <c r="E130" s="28">
        <f>IF('Visit Log'!C130="","",IF((IF('Visit Log'!AV130="Yes",", Art","")&amp;IF('Visit Log'!AW130="Yes",", Construction","")&amp;IF('Visit Log'!AX130="Yes",", Costumes","")&amp;IF('Visit Log'!AY130="Yes",", Craft Service","")&amp;IF('Visit Log'!AZ130="Yes",", Electrical","")&amp;IF('Visit Log'!BA130="Yes",", Greens","")&amp;IF('Visit Log'!BB130="Yes",", Grip","")&amp;IF('Visit Log'!BC130="Yes",", Locations","")&amp;IF('Visit Log'!BD130="Yes",", Medic","")&amp;IF('Visit Log'!BE130="Yes",", Paint","")&amp;IF('Visit Log'!BF130="Yes",", Plaster","")&amp;IF('Visit Log'!BG130="Yes",", Props","")&amp;IF('Visit Log'!BH130="Yes",", Set Dec","")&amp;IF('Visit Log'!BI130="Yes",", Set Teacher","")&amp;IF('Visit Log'!BJ130="Yes",", Sound","")&amp;IF('Visit Log'!BK130="Yes",", SPFX","")&amp;IF('Visit Log'!BL130="Yes",", Video",""))="","",MID(IF('Visit Log'!AV130="Yes",", Art","")&amp;IF('Visit Log'!AW130="Yes",", Construction","")&amp;IF('Visit Log'!AX130="Yes",", Costumes","")&amp;IF('Visit Log'!AY130="Yes",", Craft Service","")&amp;IF('Visit Log'!AZ130="Yes",", Electrical","")&amp;IF('Visit Log'!BA130="Yes",", Greens","")&amp;IF('Visit Log'!BB130="Yes",", Grip","")&amp;IF('Visit Log'!BC130="Yes",", Locations","")&amp;IF('Visit Log'!BD130="Yes",", Medic","")&amp;IF('Visit Log'!BE130="Yes",", Paint","")&amp;IF('Visit Log'!BF130="Yes",", Plaster","")&amp;IF('Visit Log'!BG130="Yes",", Props","")&amp;IF('Visit Log'!BH130="Yes",", Set Dec","")&amp;IF('Visit Log'!BI130="Yes",", Set Teacher","")&amp;IF('Visit Log'!BJ130="Yes",", Sound","")&amp;IF('Visit Log'!BK130="Yes",", SPFX","")&amp;IF('Visit Log'!BL130="Yes",", Video",""),3,300)))</f>
        <v/>
      </c>
      <c r="F130" s="28">
        <f>IF('Visit Log'!C130="","",'Visit Log'!T130)</f>
        <v/>
      </c>
    </row>
    <row r="131">
      <c r="A131" s="32">
        <f>IF('Visit Log'!C131="","",'Visit Log'!A131)</f>
        <v/>
      </c>
      <c r="B131" s="32">
        <f>IF('Visit Log'!C131="","",'Visit Log'!C131)</f>
        <v/>
      </c>
      <c r="C131" s="32">
        <f>IF('Visit Log'!C131="","",'Visit Log'!D131)</f>
        <v/>
      </c>
      <c r="D131" s="33">
        <f>IF('Visit Log'!C131="","",'Visit Log'!B131)</f>
        <v/>
      </c>
      <c r="E131" s="32">
        <f>IF('Visit Log'!C131="","",IF((IF('Visit Log'!AV131="Yes",", Art","")&amp;IF('Visit Log'!AW131="Yes",", Construction","")&amp;IF('Visit Log'!AX131="Yes",", Costumes","")&amp;IF('Visit Log'!AY131="Yes",", Craft Service","")&amp;IF('Visit Log'!AZ131="Yes",", Electrical","")&amp;IF('Visit Log'!BA131="Yes",", Greens","")&amp;IF('Visit Log'!BB131="Yes",", Grip","")&amp;IF('Visit Log'!BC131="Yes",", Locations","")&amp;IF('Visit Log'!BD131="Yes",", Medic","")&amp;IF('Visit Log'!BE131="Yes",", Paint","")&amp;IF('Visit Log'!BF131="Yes",", Plaster","")&amp;IF('Visit Log'!BG131="Yes",", Props","")&amp;IF('Visit Log'!BH131="Yes",", Set Dec","")&amp;IF('Visit Log'!BI131="Yes",", Set Teacher","")&amp;IF('Visit Log'!BJ131="Yes",", Sound","")&amp;IF('Visit Log'!BK131="Yes",", SPFX","")&amp;IF('Visit Log'!BL131="Yes",", Video",""))="","",MID(IF('Visit Log'!AV131="Yes",", Art","")&amp;IF('Visit Log'!AW131="Yes",", Construction","")&amp;IF('Visit Log'!AX131="Yes",", Costumes","")&amp;IF('Visit Log'!AY131="Yes",", Craft Service","")&amp;IF('Visit Log'!AZ131="Yes",", Electrical","")&amp;IF('Visit Log'!BA131="Yes",", Greens","")&amp;IF('Visit Log'!BB131="Yes",", Grip","")&amp;IF('Visit Log'!BC131="Yes",", Locations","")&amp;IF('Visit Log'!BD131="Yes",", Medic","")&amp;IF('Visit Log'!BE131="Yes",", Paint","")&amp;IF('Visit Log'!BF131="Yes",", Plaster","")&amp;IF('Visit Log'!BG131="Yes",", Props","")&amp;IF('Visit Log'!BH131="Yes",", Set Dec","")&amp;IF('Visit Log'!BI131="Yes",", Set Teacher","")&amp;IF('Visit Log'!BJ131="Yes",", Sound","")&amp;IF('Visit Log'!BK131="Yes",", SPFX","")&amp;IF('Visit Log'!BL131="Yes",", Video",""),3,300)))</f>
        <v/>
      </c>
      <c r="F131" s="32">
        <f>IF('Visit Log'!C131="","",'Visit Log'!T131)</f>
        <v/>
      </c>
    </row>
    <row r="132">
      <c r="A132" s="28">
        <f>IF('Visit Log'!C132="","",'Visit Log'!A132)</f>
        <v/>
      </c>
      <c r="B132" s="28">
        <f>IF('Visit Log'!C132="","",'Visit Log'!C132)</f>
        <v/>
      </c>
      <c r="C132" s="28">
        <f>IF('Visit Log'!C132="","",'Visit Log'!D132)</f>
        <v/>
      </c>
      <c r="D132" s="29">
        <f>IF('Visit Log'!C132="","",'Visit Log'!B132)</f>
        <v/>
      </c>
      <c r="E132" s="28">
        <f>IF('Visit Log'!C132="","",IF((IF('Visit Log'!AV132="Yes",", Art","")&amp;IF('Visit Log'!AW132="Yes",", Construction","")&amp;IF('Visit Log'!AX132="Yes",", Costumes","")&amp;IF('Visit Log'!AY132="Yes",", Craft Service","")&amp;IF('Visit Log'!AZ132="Yes",", Electrical","")&amp;IF('Visit Log'!BA132="Yes",", Greens","")&amp;IF('Visit Log'!BB132="Yes",", Grip","")&amp;IF('Visit Log'!BC132="Yes",", Locations","")&amp;IF('Visit Log'!BD132="Yes",", Medic","")&amp;IF('Visit Log'!BE132="Yes",", Paint","")&amp;IF('Visit Log'!BF132="Yes",", Plaster","")&amp;IF('Visit Log'!BG132="Yes",", Props","")&amp;IF('Visit Log'!BH132="Yes",", Set Dec","")&amp;IF('Visit Log'!BI132="Yes",", Set Teacher","")&amp;IF('Visit Log'!BJ132="Yes",", Sound","")&amp;IF('Visit Log'!BK132="Yes",", SPFX","")&amp;IF('Visit Log'!BL132="Yes",", Video",""))="","",MID(IF('Visit Log'!AV132="Yes",", Art","")&amp;IF('Visit Log'!AW132="Yes",", Construction","")&amp;IF('Visit Log'!AX132="Yes",", Costumes","")&amp;IF('Visit Log'!AY132="Yes",", Craft Service","")&amp;IF('Visit Log'!AZ132="Yes",", Electrical","")&amp;IF('Visit Log'!BA132="Yes",", Greens","")&amp;IF('Visit Log'!BB132="Yes",", Grip","")&amp;IF('Visit Log'!BC132="Yes",", Locations","")&amp;IF('Visit Log'!BD132="Yes",", Medic","")&amp;IF('Visit Log'!BE132="Yes",", Paint","")&amp;IF('Visit Log'!BF132="Yes",", Plaster","")&amp;IF('Visit Log'!BG132="Yes",", Props","")&amp;IF('Visit Log'!BH132="Yes",", Set Dec","")&amp;IF('Visit Log'!BI132="Yes",", Set Teacher","")&amp;IF('Visit Log'!BJ132="Yes",", Sound","")&amp;IF('Visit Log'!BK132="Yes",", SPFX","")&amp;IF('Visit Log'!BL132="Yes",", Video",""),3,300)))</f>
        <v/>
      </c>
      <c r="F132" s="28">
        <f>IF('Visit Log'!C132="","",'Visit Log'!T132)</f>
        <v/>
      </c>
    </row>
    <row r="133">
      <c r="A133" s="32">
        <f>IF('Visit Log'!C133="","",'Visit Log'!A133)</f>
        <v/>
      </c>
      <c r="B133" s="32">
        <f>IF('Visit Log'!C133="","",'Visit Log'!C133)</f>
        <v/>
      </c>
      <c r="C133" s="32">
        <f>IF('Visit Log'!C133="","",'Visit Log'!D133)</f>
        <v/>
      </c>
      <c r="D133" s="33">
        <f>IF('Visit Log'!C133="","",'Visit Log'!B133)</f>
        <v/>
      </c>
      <c r="E133" s="32">
        <f>IF('Visit Log'!C133="","",IF((IF('Visit Log'!AV133="Yes",", Art","")&amp;IF('Visit Log'!AW133="Yes",", Construction","")&amp;IF('Visit Log'!AX133="Yes",", Costumes","")&amp;IF('Visit Log'!AY133="Yes",", Craft Service","")&amp;IF('Visit Log'!AZ133="Yes",", Electrical","")&amp;IF('Visit Log'!BA133="Yes",", Greens","")&amp;IF('Visit Log'!BB133="Yes",", Grip","")&amp;IF('Visit Log'!BC133="Yes",", Locations","")&amp;IF('Visit Log'!BD133="Yes",", Medic","")&amp;IF('Visit Log'!BE133="Yes",", Paint","")&amp;IF('Visit Log'!BF133="Yes",", Plaster","")&amp;IF('Visit Log'!BG133="Yes",", Props","")&amp;IF('Visit Log'!BH133="Yes",", Set Dec","")&amp;IF('Visit Log'!BI133="Yes",", Set Teacher","")&amp;IF('Visit Log'!BJ133="Yes",", Sound","")&amp;IF('Visit Log'!BK133="Yes",", SPFX","")&amp;IF('Visit Log'!BL133="Yes",", Video",""))="","",MID(IF('Visit Log'!AV133="Yes",", Art","")&amp;IF('Visit Log'!AW133="Yes",", Construction","")&amp;IF('Visit Log'!AX133="Yes",", Costumes","")&amp;IF('Visit Log'!AY133="Yes",", Craft Service","")&amp;IF('Visit Log'!AZ133="Yes",", Electrical","")&amp;IF('Visit Log'!BA133="Yes",", Greens","")&amp;IF('Visit Log'!BB133="Yes",", Grip","")&amp;IF('Visit Log'!BC133="Yes",", Locations","")&amp;IF('Visit Log'!BD133="Yes",", Medic","")&amp;IF('Visit Log'!BE133="Yes",", Paint","")&amp;IF('Visit Log'!BF133="Yes",", Plaster","")&amp;IF('Visit Log'!BG133="Yes",", Props","")&amp;IF('Visit Log'!BH133="Yes",", Set Dec","")&amp;IF('Visit Log'!BI133="Yes",", Set Teacher","")&amp;IF('Visit Log'!BJ133="Yes",", Sound","")&amp;IF('Visit Log'!BK133="Yes",", SPFX","")&amp;IF('Visit Log'!BL133="Yes",", Video",""),3,300)))</f>
        <v/>
      </c>
      <c r="F133" s="32">
        <f>IF('Visit Log'!C133="","",'Visit Log'!T133)</f>
        <v/>
      </c>
    </row>
    <row r="134">
      <c r="A134" s="28">
        <f>IF('Visit Log'!C134="","",'Visit Log'!A134)</f>
        <v/>
      </c>
      <c r="B134" s="28">
        <f>IF('Visit Log'!C134="","",'Visit Log'!C134)</f>
        <v/>
      </c>
      <c r="C134" s="28">
        <f>IF('Visit Log'!C134="","",'Visit Log'!D134)</f>
        <v/>
      </c>
      <c r="D134" s="29">
        <f>IF('Visit Log'!C134="","",'Visit Log'!B134)</f>
        <v/>
      </c>
      <c r="E134" s="28">
        <f>IF('Visit Log'!C134="","",IF((IF('Visit Log'!AV134="Yes",", Art","")&amp;IF('Visit Log'!AW134="Yes",", Construction","")&amp;IF('Visit Log'!AX134="Yes",", Costumes","")&amp;IF('Visit Log'!AY134="Yes",", Craft Service","")&amp;IF('Visit Log'!AZ134="Yes",", Electrical","")&amp;IF('Visit Log'!BA134="Yes",", Greens","")&amp;IF('Visit Log'!BB134="Yes",", Grip","")&amp;IF('Visit Log'!BC134="Yes",", Locations","")&amp;IF('Visit Log'!BD134="Yes",", Medic","")&amp;IF('Visit Log'!BE134="Yes",", Paint","")&amp;IF('Visit Log'!BF134="Yes",", Plaster","")&amp;IF('Visit Log'!BG134="Yes",", Props","")&amp;IF('Visit Log'!BH134="Yes",", Set Dec","")&amp;IF('Visit Log'!BI134="Yes",", Set Teacher","")&amp;IF('Visit Log'!BJ134="Yes",", Sound","")&amp;IF('Visit Log'!BK134="Yes",", SPFX","")&amp;IF('Visit Log'!BL134="Yes",", Video",""))="","",MID(IF('Visit Log'!AV134="Yes",", Art","")&amp;IF('Visit Log'!AW134="Yes",", Construction","")&amp;IF('Visit Log'!AX134="Yes",", Costumes","")&amp;IF('Visit Log'!AY134="Yes",", Craft Service","")&amp;IF('Visit Log'!AZ134="Yes",", Electrical","")&amp;IF('Visit Log'!BA134="Yes",", Greens","")&amp;IF('Visit Log'!BB134="Yes",", Grip","")&amp;IF('Visit Log'!BC134="Yes",", Locations","")&amp;IF('Visit Log'!BD134="Yes",", Medic","")&amp;IF('Visit Log'!BE134="Yes",", Paint","")&amp;IF('Visit Log'!BF134="Yes",", Plaster","")&amp;IF('Visit Log'!BG134="Yes",", Props","")&amp;IF('Visit Log'!BH134="Yes",", Set Dec","")&amp;IF('Visit Log'!BI134="Yes",", Set Teacher","")&amp;IF('Visit Log'!BJ134="Yes",", Sound","")&amp;IF('Visit Log'!BK134="Yes",", SPFX","")&amp;IF('Visit Log'!BL134="Yes",", Video",""),3,300)))</f>
        <v/>
      </c>
      <c r="F134" s="28">
        <f>IF('Visit Log'!C134="","",'Visit Log'!T134)</f>
        <v/>
      </c>
    </row>
    <row r="135">
      <c r="A135" s="32">
        <f>IF('Visit Log'!C135="","",'Visit Log'!A135)</f>
        <v/>
      </c>
      <c r="B135" s="32">
        <f>IF('Visit Log'!C135="","",'Visit Log'!C135)</f>
        <v/>
      </c>
      <c r="C135" s="32">
        <f>IF('Visit Log'!C135="","",'Visit Log'!D135)</f>
        <v/>
      </c>
      <c r="D135" s="33">
        <f>IF('Visit Log'!C135="","",'Visit Log'!B135)</f>
        <v/>
      </c>
      <c r="E135" s="32">
        <f>IF('Visit Log'!C135="","",IF((IF('Visit Log'!AV135="Yes",", Art","")&amp;IF('Visit Log'!AW135="Yes",", Construction","")&amp;IF('Visit Log'!AX135="Yes",", Costumes","")&amp;IF('Visit Log'!AY135="Yes",", Craft Service","")&amp;IF('Visit Log'!AZ135="Yes",", Electrical","")&amp;IF('Visit Log'!BA135="Yes",", Greens","")&amp;IF('Visit Log'!BB135="Yes",", Grip","")&amp;IF('Visit Log'!BC135="Yes",", Locations","")&amp;IF('Visit Log'!BD135="Yes",", Medic","")&amp;IF('Visit Log'!BE135="Yes",", Paint","")&amp;IF('Visit Log'!BF135="Yes",", Plaster","")&amp;IF('Visit Log'!BG135="Yes",", Props","")&amp;IF('Visit Log'!BH135="Yes",", Set Dec","")&amp;IF('Visit Log'!BI135="Yes",", Set Teacher","")&amp;IF('Visit Log'!BJ135="Yes",", Sound","")&amp;IF('Visit Log'!BK135="Yes",", SPFX","")&amp;IF('Visit Log'!BL135="Yes",", Video",""))="","",MID(IF('Visit Log'!AV135="Yes",", Art","")&amp;IF('Visit Log'!AW135="Yes",", Construction","")&amp;IF('Visit Log'!AX135="Yes",", Costumes","")&amp;IF('Visit Log'!AY135="Yes",", Craft Service","")&amp;IF('Visit Log'!AZ135="Yes",", Electrical","")&amp;IF('Visit Log'!BA135="Yes",", Greens","")&amp;IF('Visit Log'!BB135="Yes",", Grip","")&amp;IF('Visit Log'!BC135="Yes",", Locations","")&amp;IF('Visit Log'!BD135="Yes",", Medic","")&amp;IF('Visit Log'!BE135="Yes",", Paint","")&amp;IF('Visit Log'!BF135="Yes",", Plaster","")&amp;IF('Visit Log'!BG135="Yes",", Props","")&amp;IF('Visit Log'!BH135="Yes",", Set Dec","")&amp;IF('Visit Log'!BI135="Yes",", Set Teacher","")&amp;IF('Visit Log'!BJ135="Yes",", Sound","")&amp;IF('Visit Log'!BK135="Yes",", SPFX","")&amp;IF('Visit Log'!BL135="Yes",", Video",""),3,300)))</f>
        <v/>
      </c>
      <c r="F135" s="32">
        <f>IF('Visit Log'!C135="","",'Visit Log'!T135)</f>
        <v/>
      </c>
    </row>
    <row r="136">
      <c r="A136" s="28">
        <f>IF('Visit Log'!C136="","",'Visit Log'!A136)</f>
        <v/>
      </c>
      <c r="B136" s="28">
        <f>IF('Visit Log'!C136="","",'Visit Log'!C136)</f>
        <v/>
      </c>
      <c r="C136" s="28">
        <f>IF('Visit Log'!C136="","",'Visit Log'!D136)</f>
        <v/>
      </c>
      <c r="D136" s="29">
        <f>IF('Visit Log'!C136="","",'Visit Log'!B136)</f>
        <v/>
      </c>
      <c r="E136" s="28">
        <f>IF('Visit Log'!C136="","",IF((IF('Visit Log'!AV136="Yes",", Art","")&amp;IF('Visit Log'!AW136="Yes",", Construction","")&amp;IF('Visit Log'!AX136="Yes",", Costumes","")&amp;IF('Visit Log'!AY136="Yes",", Craft Service","")&amp;IF('Visit Log'!AZ136="Yes",", Electrical","")&amp;IF('Visit Log'!BA136="Yes",", Greens","")&amp;IF('Visit Log'!BB136="Yes",", Grip","")&amp;IF('Visit Log'!BC136="Yes",", Locations","")&amp;IF('Visit Log'!BD136="Yes",", Medic","")&amp;IF('Visit Log'!BE136="Yes",", Paint","")&amp;IF('Visit Log'!BF136="Yes",", Plaster","")&amp;IF('Visit Log'!BG136="Yes",", Props","")&amp;IF('Visit Log'!BH136="Yes",", Set Dec","")&amp;IF('Visit Log'!BI136="Yes",", Set Teacher","")&amp;IF('Visit Log'!BJ136="Yes",", Sound","")&amp;IF('Visit Log'!BK136="Yes",", SPFX","")&amp;IF('Visit Log'!BL136="Yes",", Video",""))="","",MID(IF('Visit Log'!AV136="Yes",", Art","")&amp;IF('Visit Log'!AW136="Yes",", Construction","")&amp;IF('Visit Log'!AX136="Yes",", Costumes","")&amp;IF('Visit Log'!AY136="Yes",", Craft Service","")&amp;IF('Visit Log'!AZ136="Yes",", Electrical","")&amp;IF('Visit Log'!BA136="Yes",", Greens","")&amp;IF('Visit Log'!BB136="Yes",", Grip","")&amp;IF('Visit Log'!BC136="Yes",", Locations","")&amp;IF('Visit Log'!BD136="Yes",", Medic","")&amp;IF('Visit Log'!BE136="Yes",", Paint","")&amp;IF('Visit Log'!BF136="Yes",", Plaster","")&amp;IF('Visit Log'!BG136="Yes",", Props","")&amp;IF('Visit Log'!BH136="Yes",", Set Dec","")&amp;IF('Visit Log'!BI136="Yes",", Set Teacher","")&amp;IF('Visit Log'!BJ136="Yes",", Sound","")&amp;IF('Visit Log'!BK136="Yes",", SPFX","")&amp;IF('Visit Log'!BL136="Yes",", Video",""),3,300)))</f>
        <v/>
      </c>
      <c r="F136" s="28">
        <f>IF('Visit Log'!C136="","",'Visit Log'!T136)</f>
        <v/>
      </c>
    </row>
    <row r="137">
      <c r="A137" s="32">
        <f>IF('Visit Log'!C137="","",'Visit Log'!A137)</f>
        <v/>
      </c>
      <c r="B137" s="32">
        <f>IF('Visit Log'!C137="","",'Visit Log'!C137)</f>
        <v/>
      </c>
      <c r="C137" s="32">
        <f>IF('Visit Log'!C137="","",'Visit Log'!D137)</f>
        <v/>
      </c>
      <c r="D137" s="33">
        <f>IF('Visit Log'!C137="","",'Visit Log'!B137)</f>
        <v/>
      </c>
      <c r="E137" s="32">
        <f>IF('Visit Log'!C137="","",IF((IF('Visit Log'!AV137="Yes",", Art","")&amp;IF('Visit Log'!AW137="Yes",", Construction","")&amp;IF('Visit Log'!AX137="Yes",", Costumes","")&amp;IF('Visit Log'!AY137="Yes",", Craft Service","")&amp;IF('Visit Log'!AZ137="Yes",", Electrical","")&amp;IF('Visit Log'!BA137="Yes",", Greens","")&amp;IF('Visit Log'!BB137="Yes",", Grip","")&amp;IF('Visit Log'!BC137="Yes",", Locations","")&amp;IF('Visit Log'!BD137="Yes",", Medic","")&amp;IF('Visit Log'!BE137="Yes",", Paint","")&amp;IF('Visit Log'!BF137="Yes",", Plaster","")&amp;IF('Visit Log'!BG137="Yes",", Props","")&amp;IF('Visit Log'!BH137="Yes",", Set Dec","")&amp;IF('Visit Log'!BI137="Yes",", Set Teacher","")&amp;IF('Visit Log'!BJ137="Yes",", Sound","")&amp;IF('Visit Log'!BK137="Yes",", SPFX","")&amp;IF('Visit Log'!BL137="Yes",", Video",""))="","",MID(IF('Visit Log'!AV137="Yes",", Art","")&amp;IF('Visit Log'!AW137="Yes",", Construction","")&amp;IF('Visit Log'!AX137="Yes",", Costumes","")&amp;IF('Visit Log'!AY137="Yes",", Craft Service","")&amp;IF('Visit Log'!AZ137="Yes",", Electrical","")&amp;IF('Visit Log'!BA137="Yes",", Greens","")&amp;IF('Visit Log'!BB137="Yes",", Grip","")&amp;IF('Visit Log'!BC137="Yes",", Locations","")&amp;IF('Visit Log'!BD137="Yes",", Medic","")&amp;IF('Visit Log'!BE137="Yes",", Paint","")&amp;IF('Visit Log'!BF137="Yes",", Plaster","")&amp;IF('Visit Log'!BG137="Yes",", Props","")&amp;IF('Visit Log'!BH137="Yes",", Set Dec","")&amp;IF('Visit Log'!BI137="Yes",", Set Teacher","")&amp;IF('Visit Log'!BJ137="Yes",", Sound","")&amp;IF('Visit Log'!BK137="Yes",", SPFX","")&amp;IF('Visit Log'!BL137="Yes",", Video",""),3,300)))</f>
        <v/>
      </c>
      <c r="F137" s="32">
        <f>IF('Visit Log'!C137="","",'Visit Log'!T137)</f>
        <v/>
      </c>
    </row>
    <row r="138">
      <c r="A138" s="28">
        <f>IF('Visit Log'!C138="","",'Visit Log'!A138)</f>
        <v/>
      </c>
      <c r="B138" s="28">
        <f>IF('Visit Log'!C138="","",'Visit Log'!C138)</f>
        <v/>
      </c>
      <c r="C138" s="28">
        <f>IF('Visit Log'!C138="","",'Visit Log'!D138)</f>
        <v/>
      </c>
      <c r="D138" s="29">
        <f>IF('Visit Log'!C138="","",'Visit Log'!B138)</f>
        <v/>
      </c>
      <c r="E138" s="28">
        <f>IF('Visit Log'!C138="","",IF((IF('Visit Log'!AV138="Yes",", Art","")&amp;IF('Visit Log'!AW138="Yes",", Construction","")&amp;IF('Visit Log'!AX138="Yes",", Costumes","")&amp;IF('Visit Log'!AY138="Yes",", Craft Service","")&amp;IF('Visit Log'!AZ138="Yes",", Electrical","")&amp;IF('Visit Log'!BA138="Yes",", Greens","")&amp;IF('Visit Log'!BB138="Yes",", Grip","")&amp;IF('Visit Log'!BC138="Yes",", Locations","")&amp;IF('Visit Log'!BD138="Yes",", Medic","")&amp;IF('Visit Log'!BE138="Yes",", Paint","")&amp;IF('Visit Log'!BF138="Yes",", Plaster","")&amp;IF('Visit Log'!BG138="Yes",", Props","")&amp;IF('Visit Log'!BH138="Yes",", Set Dec","")&amp;IF('Visit Log'!BI138="Yes",", Set Teacher","")&amp;IF('Visit Log'!BJ138="Yes",", Sound","")&amp;IF('Visit Log'!BK138="Yes",", SPFX","")&amp;IF('Visit Log'!BL138="Yes",", Video",""))="","",MID(IF('Visit Log'!AV138="Yes",", Art","")&amp;IF('Visit Log'!AW138="Yes",", Construction","")&amp;IF('Visit Log'!AX138="Yes",", Costumes","")&amp;IF('Visit Log'!AY138="Yes",", Craft Service","")&amp;IF('Visit Log'!AZ138="Yes",", Electrical","")&amp;IF('Visit Log'!BA138="Yes",", Greens","")&amp;IF('Visit Log'!BB138="Yes",", Grip","")&amp;IF('Visit Log'!BC138="Yes",", Locations","")&amp;IF('Visit Log'!BD138="Yes",", Medic","")&amp;IF('Visit Log'!BE138="Yes",", Paint","")&amp;IF('Visit Log'!BF138="Yes",", Plaster","")&amp;IF('Visit Log'!BG138="Yes",", Props","")&amp;IF('Visit Log'!BH138="Yes",", Set Dec","")&amp;IF('Visit Log'!BI138="Yes",", Set Teacher","")&amp;IF('Visit Log'!BJ138="Yes",", Sound","")&amp;IF('Visit Log'!BK138="Yes",", SPFX","")&amp;IF('Visit Log'!BL138="Yes",", Video",""),3,300)))</f>
        <v/>
      </c>
      <c r="F138" s="28">
        <f>IF('Visit Log'!C138="","",'Visit Log'!T138)</f>
        <v/>
      </c>
    </row>
    <row r="139">
      <c r="A139" s="32">
        <f>IF('Visit Log'!C139="","",'Visit Log'!A139)</f>
        <v/>
      </c>
      <c r="B139" s="32">
        <f>IF('Visit Log'!C139="","",'Visit Log'!C139)</f>
        <v/>
      </c>
      <c r="C139" s="32">
        <f>IF('Visit Log'!C139="","",'Visit Log'!D139)</f>
        <v/>
      </c>
      <c r="D139" s="33">
        <f>IF('Visit Log'!C139="","",'Visit Log'!B139)</f>
        <v/>
      </c>
      <c r="E139" s="32">
        <f>IF('Visit Log'!C139="","",IF((IF('Visit Log'!AV139="Yes",", Art","")&amp;IF('Visit Log'!AW139="Yes",", Construction","")&amp;IF('Visit Log'!AX139="Yes",", Costumes","")&amp;IF('Visit Log'!AY139="Yes",", Craft Service","")&amp;IF('Visit Log'!AZ139="Yes",", Electrical","")&amp;IF('Visit Log'!BA139="Yes",", Greens","")&amp;IF('Visit Log'!BB139="Yes",", Grip","")&amp;IF('Visit Log'!BC139="Yes",", Locations","")&amp;IF('Visit Log'!BD139="Yes",", Medic","")&amp;IF('Visit Log'!BE139="Yes",", Paint","")&amp;IF('Visit Log'!BF139="Yes",", Plaster","")&amp;IF('Visit Log'!BG139="Yes",", Props","")&amp;IF('Visit Log'!BH139="Yes",", Set Dec","")&amp;IF('Visit Log'!BI139="Yes",", Set Teacher","")&amp;IF('Visit Log'!BJ139="Yes",", Sound","")&amp;IF('Visit Log'!BK139="Yes",", SPFX","")&amp;IF('Visit Log'!BL139="Yes",", Video",""))="","",MID(IF('Visit Log'!AV139="Yes",", Art","")&amp;IF('Visit Log'!AW139="Yes",", Construction","")&amp;IF('Visit Log'!AX139="Yes",", Costumes","")&amp;IF('Visit Log'!AY139="Yes",", Craft Service","")&amp;IF('Visit Log'!AZ139="Yes",", Electrical","")&amp;IF('Visit Log'!BA139="Yes",", Greens","")&amp;IF('Visit Log'!BB139="Yes",", Grip","")&amp;IF('Visit Log'!BC139="Yes",", Locations","")&amp;IF('Visit Log'!BD139="Yes",", Medic","")&amp;IF('Visit Log'!BE139="Yes",", Paint","")&amp;IF('Visit Log'!BF139="Yes",", Plaster","")&amp;IF('Visit Log'!BG139="Yes",", Props","")&amp;IF('Visit Log'!BH139="Yes",", Set Dec","")&amp;IF('Visit Log'!BI139="Yes",", Set Teacher","")&amp;IF('Visit Log'!BJ139="Yes",", Sound","")&amp;IF('Visit Log'!BK139="Yes",", SPFX","")&amp;IF('Visit Log'!BL139="Yes",", Video",""),3,300)))</f>
        <v/>
      </c>
      <c r="F139" s="32">
        <f>IF('Visit Log'!C139="","",'Visit Log'!T139)</f>
        <v/>
      </c>
    </row>
    <row r="140">
      <c r="A140" s="28">
        <f>IF('Visit Log'!C140="","",'Visit Log'!A140)</f>
        <v/>
      </c>
      <c r="B140" s="28">
        <f>IF('Visit Log'!C140="","",'Visit Log'!C140)</f>
        <v/>
      </c>
      <c r="C140" s="28">
        <f>IF('Visit Log'!C140="","",'Visit Log'!D140)</f>
        <v/>
      </c>
      <c r="D140" s="29">
        <f>IF('Visit Log'!C140="","",'Visit Log'!B140)</f>
        <v/>
      </c>
      <c r="E140" s="28">
        <f>IF('Visit Log'!C140="","",IF((IF('Visit Log'!AV140="Yes",", Art","")&amp;IF('Visit Log'!AW140="Yes",", Construction","")&amp;IF('Visit Log'!AX140="Yes",", Costumes","")&amp;IF('Visit Log'!AY140="Yes",", Craft Service","")&amp;IF('Visit Log'!AZ140="Yes",", Electrical","")&amp;IF('Visit Log'!BA140="Yes",", Greens","")&amp;IF('Visit Log'!BB140="Yes",", Grip","")&amp;IF('Visit Log'!BC140="Yes",", Locations","")&amp;IF('Visit Log'!BD140="Yes",", Medic","")&amp;IF('Visit Log'!BE140="Yes",", Paint","")&amp;IF('Visit Log'!BF140="Yes",", Plaster","")&amp;IF('Visit Log'!BG140="Yes",", Props","")&amp;IF('Visit Log'!BH140="Yes",", Set Dec","")&amp;IF('Visit Log'!BI140="Yes",", Set Teacher","")&amp;IF('Visit Log'!BJ140="Yes",", Sound","")&amp;IF('Visit Log'!BK140="Yes",", SPFX","")&amp;IF('Visit Log'!BL140="Yes",", Video",""))="","",MID(IF('Visit Log'!AV140="Yes",", Art","")&amp;IF('Visit Log'!AW140="Yes",", Construction","")&amp;IF('Visit Log'!AX140="Yes",", Costumes","")&amp;IF('Visit Log'!AY140="Yes",", Craft Service","")&amp;IF('Visit Log'!AZ140="Yes",", Electrical","")&amp;IF('Visit Log'!BA140="Yes",", Greens","")&amp;IF('Visit Log'!BB140="Yes",", Grip","")&amp;IF('Visit Log'!BC140="Yes",", Locations","")&amp;IF('Visit Log'!BD140="Yes",", Medic","")&amp;IF('Visit Log'!BE140="Yes",", Paint","")&amp;IF('Visit Log'!BF140="Yes",", Plaster","")&amp;IF('Visit Log'!BG140="Yes",", Props","")&amp;IF('Visit Log'!BH140="Yes",", Set Dec","")&amp;IF('Visit Log'!BI140="Yes",", Set Teacher","")&amp;IF('Visit Log'!BJ140="Yes",", Sound","")&amp;IF('Visit Log'!BK140="Yes",", SPFX","")&amp;IF('Visit Log'!BL140="Yes",", Video",""),3,300)))</f>
        <v/>
      </c>
      <c r="F140" s="28">
        <f>IF('Visit Log'!C140="","",'Visit Log'!T140)</f>
        <v/>
      </c>
    </row>
    <row r="141">
      <c r="A141" s="32">
        <f>IF('Visit Log'!C141="","",'Visit Log'!A141)</f>
        <v/>
      </c>
      <c r="B141" s="32">
        <f>IF('Visit Log'!C141="","",'Visit Log'!C141)</f>
        <v/>
      </c>
      <c r="C141" s="32">
        <f>IF('Visit Log'!C141="","",'Visit Log'!D141)</f>
        <v/>
      </c>
      <c r="D141" s="33">
        <f>IF('Visit Log'!C141="","",'Visit Log'!B141)</f>
        <v/>
      </c>
      <c r="E141" s="32">
        <f>IF('Visit Log'!C141="","",IF((IF('Visit Log'!AV141="Yes",", Art","")&amp;IF('Visit Log'!AW141="Yes",", Construction","")&amp;IF('Visit Log'!AX141="Yes",", Costumes","")&amp;IF('Visit Log'!AY141="Yes",", Craft Service","")&amp;IF('Visit Log'!AZ141="Yes",", Electrical","")&amp;IF('Visit Log'!BA141="Yes",", Greens","")&amp;IF('Visit Log'!BB141="Yes",", Grip","")&amp;IF('Visit Log'!BC141="Yes",", Locations","")&amp;IF('Visit Log'!BD141="Yes",", Medic","")&amp;IF('Visit Log'!BE141="Yes",", Paint","")&amp;IF('Visit Log'!BF141="Yes",", Plaster","")&amp;IF('Visit Log'!BG141="Yes",", Props","")&amp;IF('Visit Log'!BH141="Yes",", Set Dec","")&amp;IF('Visit Log'!BI141="Yes",", Set Teacher","")&amp;IF('Visit Log'!BJ141="Yes",", Sound","")&amp;IF('Visit Log'!BK141="Yes",", SPFX","")&amp;IF('Visit Log'!BL141="Yes",", Video",""))="","",MID(IF('Visit Log'!AV141="Yes",", Art","")&amp;IF('Visit Log'!AW141="Yes",", Construction","")&amp;IF('Visit Log'!AX141="Yes",", Costumes","")&amp;IF('Visit Log'!AY141="Yes",", Craft Service","")&amp;IF('Visit Log'!AZ141="Yes",", Electrical","")&amp;IF('Visit Log'!BA141="Yes",", Greens","")&amp;IF('Visit Log'!BB141="Yes",", Grip","")&amp;IF('Visit Log'!BC141="Yes",", Locations","")&amp;IF('Visit Log'!BD141="Yes",", Medic","")&amp;IF('Visit Log'!BE141="Yes",", Paint","")&amp;IF('Visit Log'!BF141="Yes",", Plaster","")&amp;IF('Visit Log'!BG141="Yes",", Props","")&amp;IF('Visit Log'!BH141="Yes",", Set Dec","")&amp;IF('Visit Log'!BI141="Yes",", Set Teacher","")&amp;IF('Visit Log'!BJ141="Yes",", Sound","")&amp;IF('Visit Log'!BK141="Yes",", SPFX","")&amp;IF('Visit Log'!BL141="Yes",", Video",""),3,300)))</f>
        <v/>
      </c>
      <c r="F141" s="32">
        <f>IF('Visit Log'!C141="","",'Visit Log'!T141)</f>
        <v/>
      </c>
    </row>
    <row r="142">
      <c r="A142" s="28">
        <f>IF('Visit Log'!C142="","",'Visit Log'!A142)</f>
        <v/>
      </c>
      <c r="B142" s="28">
        <f>IF('Visit Log'!C142="","",'Visit Log'!C142)</f>
        <v/>
      </c>
      <c r="C142" s="28">
        <f>IF('Visit Log'!C142="","",'Visit Log'!D142)</f>
        <v/>
      </c>
      <c r="D142" s="29">
        <f>IF('Visit Log'!C142="","",'Visit Log'!B142)</f>
        <v/>
      </c>
      <c r="E142" s="28">
        <f>IF('Visit Log'!C142="","",IF((IF('Visit Log'!AV142="Yes",", Art","")&amp;IF('Visit Log'!AW142="Yes",", Construction","")&amp;IF('Visit Log'!AX142="Yes",", Costumes","")&amp;IF('Visit Log'!AY142="Yes",", Craft Service","")&amp;IF('Visit Log'!AZ142="Yes",", Electrical","")&amp;IF('Visit Log'!BA142="Yes",", Greens","")&amp;IF('Visit Log'!BB142="Yes",", Grip","")&amp;IF('Visit Log'!BC142="Yes",", Locations","")&amp;IF('Visit Log'!BD142="Yes",", Medic","")&amp;IF('Visit Log'!BE142="Yes",", Paint","")&amp;IF('Visit Log'!BF142="Yes",", Plaster","")&amp;IF('Visit Log'!BG142="Yes",", Props","")&amp;IF('Visit Log'!BH142="Yes",", Set Dec","")&amp;IF('Visit Log'!BI142="Yes",", Set Teacher","")&amp;IF('Visit Log'!BJ142="Yes",", Sound","")&amp;IF('Visit Log'!BK142="Yes",", SPFX","")&amp;IF('Visit Log'!BL142="Yes",", Video",""))="","",MID(IF('Visit Log'!AV142="Yes",", Art","")&amp;IF('Visit Log'!AW142="Yes",", Construction","")&amp;IF('Visit Log'!AX142="Yes",", Costumes","")&amp;IF('Visit Log'!AY142="Yes",", Craft Service","")&amp;IF('Visit Log'!AZ142="Yes",", Electrical","")&amp;IF('Visit Log'!BA142="Yes",", Greens","")&amp;IF('Visit Log'!BB142="Yes",", Grip","")&amp;IF('Visit Log'!BC142="Yes",", Locations","")&amp;IF('Visit Log'!BD142="Yes",", Medic","")&amp;IF('Visit Log'!BE142="Yes",", Paint","")&amp;IF('Visit Log'!BF142="Yes",", Plaster","")&amp;IF('Visit Log'!BG142="Yes",", Props","")&amp;IF('Visit Log'!BH142="Yes",", Set Dec","")&amp;IF('Visit Log'!BI142="Yes",", Set Teacher","")&amp;IF('Visit Log'!BJ142="Yes",", Sound","")&amp;IF('Visit Log'!BK142="Yes",", SPFX","")&amp;IF('Visit Log'!BL142="Yes",", Video",""),3,300)))</f>
        <v/>
      </c>
      <c r="F142" s="28">
        <f>IF('Visit Log'!C142="","",'Visit Log'!T142)</f>
        <v/>
      </c>
    </row>
    <row r="143">
      <c r="A143" s="32">
        <f>IF('Visit Log'!C143="","",'Visit Log'!A143)</f>
        <v/>
      </c>
      <c r="B143" s="32">
        <f>IF('Visit Log'!C143="","",'Visit Log'!C143)</f>
        <v/>
      </c>
      <c r="C143" s="32">
        <f>IF('Visit Log'!C143="","",'Visit Log'!D143)</f>
        <v/>
      </c>
      <c r="D143" s="33">
        <f>IF('Visit Log'!C143="","",'Visit Log'!B143)</f>
        <v/>
      </c>
      <c r="E143" s="32">
        <f>IF('Visit Log'!C143="","",IF((IF('Visit Log'!AV143="Yes",", Art","")&amp;IF('Visit Log'!AW143="Yes",", Construction","")&amp;IF('Visit Log'!AX143="Yes",", Costumes","")&amp;IF('Visit Log'!AY143="Yes",", Craft Service","")&amp;IF('Visit Log'!AZ143="Yes",", Electrical","")&amp;IF('Visit Log'!BA143="Yes",", Greens","")&amp;IF('Visit Log'!BB143="Yes",", Grip","")&amp;IF('Visit Log'!BC143="Yes",", Locations","")&amp;IF('Visit Log'!BD143="Yes",", Medic","")&amp;IF('Visit Log'!BE143="Yes",", Paint","")&amp;IF('Visit Log'!BF143="Yes",", Plaster","")&amp;IF('Visit Log'!BG143="Yes",", Props","")&amp;IF('Visit Log'!BH143="Yes",", Set Dec","")&amp;IF('Visit Log'!BI143="Yes",", Set Teacher","")&amp;IF('Visit Log'!BJ143="Yes",", Sound","")&amp;IF('Visit Log'!BK143="Yes",", SPFX","")&amp;IF('Visit Log'!BL143="Yes",", Video",""))="","",MID(IF('Visit Log'!AV143="Yes",", Art","")&amp;IF('Visit Log'!AW143="Yes",", Construction","")&amp;IF('Visit Log'!AX143="Yes",", Costumes","")&amp;IF('Visit Log'!AY143="Yes",", Craft Service","")&amp;IF('Visit Log'!AZ143="Yes",", Electrical","")&amp;IF('Visit Log'!BA143="Yes",", Greens","")&amp;IF('Visit Log'!BB143="Yes",", Grip","")&amp;IF('Visit Log'!BC143="Yes",", Locations","")&amp;IF('Visit Log'!BD143="Yes",", Medic","")&amp;IF('Visit Log'!BE143="Yes",", Paint","")&amp;IF('Visit Log'!BF143="Yes",", Plaster","")&amp;IF('Visit Log'!BG143="Yes",", Props","")&amp;IF('Visit Log'!BH143="Yes",", Set Dec","")&amp;IF('Visit Log'!BI143="Yes",", Set Teacher","")&amp;IF('Visit Log'!BJ143="Yes",", Sound","")&amp;IF('Visit Log'!BK143="Yes",", SPFX","")&amp;IF('Visit Log'!BL143="Yes",", Video",""),3,300)))</f>
        <v/>
      </c>
      <c r="F143" s="32">
        <f>IF('Visit Log'!C143="","",'Visit Log'!T143)</f>
        <v/>
      </c>
    </row>
    <row r="144">
      <c r="A144" s="28">
        <f>IF('Visit Log'!C144="","",'Visit Log'!A144)</f>
        <v/>
      </c>
      <c r="B144" s="28">
        <f>IF('Visit Log'!C144="","",'Visit Log'!C144)</f>
        <v/>
      </c>
      <c r="C144" s="28">
        <f>IF('Visit Log'!C144="","",'Visit Log'!D144)</f>
        <v/>
      </c>
      <c r="D144" s="29">
        <f>IF('Visit Log'!C144="","",'Visit Log'!B144)</f>
        <v/>
      </c>
      <c r="E144" s="28">
        <f>IF('Visit Log'!C144="","",IF((IF('Visit Log'!AV144="Yes",", Art","")&amp;IF('Visit Log'!AW144="Yes",", Construction","")&amp;IF('Visit Log'!AX144="Yes",", Costumes","")&amp;IF('Visit Log'!AY144="Yes",", Craft Service","")&amp;IF('Visit Log'!AZ144="Yes",", Electrical","")&amp;IF('Visit Log'!BA144="Yes",", Greens","")&amp;IF('Visit Log'!BB144="Yes",", Grip","")&amp;IF('Visit Log'!BC144="Yes",", Locations","")&amp;IF('Visit Log'!BD144="Yes",", Medic","")&amp;IF('Visit Log'!BE144="Yes",", Paint","")&amp;IF('Visit Log'!BF144="Yes",", Plaster","")&amp;IF('Visit Log'!BG144="Yes",", Props","")&amp;IF('Visit Log'!BH144="Yes",", Set Dec","")&amp;IF('Visit Log'!BI144="Yes",", Set Teacher","")&amp;IF('Visit Log'!BJ144="Yes",", Sound","")&amp;IF('Visit Log'!BK144="Yes",", SPFX","")&amp;IF('Visit Log'!BL144="Yes",", Video",""))="","",MID(IF('Visit Log'!AV144="Yes",", Art","")&amp;IF('Visit Log'!AW144="Yes",", Construction","")&amp;IF('Visit Log'!AX144="Yes",", Costumes","")&amp;IF('Visit Log'!AY144="Yes",", Craft Service","")&amp;IF('Visit Log'!AZ144="Yes",", Electrical","")&amp;IF('Visit Log'!BA144="Yes",", Greens","")&amp;IF('Visit Log'!BB144="Yes",", Grip","")&amp;IF('Visit Log'!BC144="Yes",", Locations","")&amp;IF('Visit Log'!BD144="Yes",", Medic","")&amp;IF('Visit Log'!BE144="Yes",", Paint","")&amp;IF('Visit Log'!BF144="Yes",", Plaster","")&amp;IF('Visit Log'!BG144="Yes",", Props","")&amp;IF('Visit Log'!BH144="Yes",", Set Dec","")&amp;IF('Visit Log'!BI144="Yes",", Set Teacher","")&amp;IF('Visit Log'!BJ144="Yes",", Sound","")&amp;IF('Visit Log'!BK144="Yes",", SPFX","")&amp;IF('Visit Log'!BL144="Yes",", Video",""),3,300)))</f>
        <v/>
      </c>
      <c r="F144" s="28">
        <f>IF('Visit Log'!C144="","",'Visit Log'!T144)</f>
        <v/>
      </c>
    </row>
    <row r="145">
      <c r="A145" s="32">
        <f>IF('Visit Log'!C145="","",'Visit Log'!A145)</f>
        <v/>
      </c>
      <c r="B145" s="32">
        <f>IF('Visit Log'!C145="","",'Visit Log'!C145)</f>
        <v/>
      </c>
      <c r="C145" s="32">
        <f>IF('Visit Log'!C145="","",'Visit Log'!D145)</f>
        <v/>
      </c>
      <c r="D145" s="33">
        <f>IF('Visit Log'!C145="","",'Visit Log'!B145)</f>
        <v/>
      </c>
      <c r="E145" s="32">
        <f>IF('Visit Log'!C145="","",IF((IF('Visit Log'!AV145="Yes",", Art","")&amp;IF('Visit Log'!AW145="Yes",", Construction","")&amp;IF('Visit Log'!AX145="Yes",", Costumes","")&amp;IF('Visit Log'!AY145="Yes",", Craft Service","")&amp;IF('Visit Log'!AZ145="Yes",", Electrical","")&amp;IF('Visit Log'!BA145="Yes",", Greens","")&amp;IF('Visit Log'!BB145="Yes",", Grip","")&amp;IF('Visit Log'!BC145="Yes",", Locations","")&amp;IF('Visit Log'!BD145="Yes",", Medic","")&amp;IF('Visit Log'!BE145="Yes",", Paint","")&amp;IF('Visit Log'!BF145="Yes",", Plaster","")&amp;IF('Visit Log'!BG145="Yes",", Props","")&amp;IF('Visit Log'!BH145="Yes",", Set Dec","")&amp;IF('Visit Log'!BI145="Yes",", Set Teacher","")&amp;IF('Visit Log'!BJ145="Yes",", Sound","")&amp;IF('Visit Log'!BK145="Yes",", SPFX","")&amp;IF('Visit Log'!BL145="Yes",", Video",""))="","",MID(IF('Visit Log'!AV145="Yes",", Art","")&amp;IF('Visit Log'!AW145="Yes",", Construction","")&amp;IF('Visit Log'!AX145="Yes",", Costumes","")&amp;IF('Visit Log'!AY145="Yes",", Craft Service","")&amp;IF('Visit Log'!AZ145="Yes",", Electrical","")&amp;IF('Visit Log'!BA145="Yes",", Greens","")&amp;IF('Visit Log'!BB145="Yes",", Grip","")&amp;IF('Visit Log'!BC145="Yes",", Locations","")&amp;IF('Visit Log'!BD145="Yes",", Medic","")&amp;IF('Visit Log'!BE145="Yes",", Paint","")&amp;IF('Visit Log'!BF145="Yes",", Plaster","")&amp;IF('Visit Log'!BG145="Yes",", Props","")&amp;IF('Visit Log'!BH145="Yes",", Set Dec","")&amp;IF('Visit Log'!BI145="Yes",", Set Teacher","")&amp;IF('Visit Log'!BJ145="Yes",", Sound","")&amp;IF('Visit Log'!BK145="Yes",", SPFX","")&amp;IF('Visit Log'!BL145="Yes",", Video",""),3,300)))</f>
        <v/>
      </c>
      <c r="F145" s="32">
        <f>IF('Visit Log'!C145="","",'Visit Log'!T145)</f>
        <v/>
      </c>
    </row>
    <row r="146">
      <c r="A146" s="28">
        <f>IF('Visit Log'!C146="","",'Visit Log'!A146)</f>
        <v/>
      </c>
      <c r="B146" s="28">
        <f>IF('Visit Log'!C146="","",'Visit Log'!C146)</f>
        <v/>
      </c>
      <c r="C146" s="28">
        <f>IF('Visit Log'!C146="","",'Visit Log'!D146)</f>
        <v/>
      </c>
      <c r="D146" s="29">
        <f>IF('Visit Log'!C146="","",'Visit Log'!B146)</f>
        <v/>
      </c>
      <c r="E146" s="28">
        <f>IF('Visit Log'!C146="","",IF((IF('Visit Log'!AV146="Yes",", Art","")&amp;IF('Visit Log'!AW146="Yes",", Construction","")&amp;IF('Visit Log'!AX146="Yes",", Costumes","")&amp;IF('Visit Log'!AY146="Yes",", Craft Service","")&amp;IF('Visit Log'!AZ146="Yes",", Electrical","")&amp;IF('Visit Log'!BA146="Yes",", Greens","")&amp;IF('Visit Log'!BB146="Yes",", Grip","")&amp;IF('Visit Log'!BC146="Yes",", Locations","")&amp;IF('Visit Log'!BD146="Yes",", Medic","")&amp;IF('Visit Log'!BE146="Yes",", Paint","")&amp;IF('Visit Log'!BF146="Yes",", Plaster","")&amp;IF('Visit Log'!BG146="Yes",", Props","")&amp;IF('Visit Log'!BH146="Yes",", Set Dec","")&amp;IF('Visit Log'!BI146="Yes",", Set Teacher","")&amp;IF('Visit Log'!BJ146="Yes",", Sound","")&amp;IF('Visit Log'!BK146="Yes",", SPFX","")&amp;IF('Visit Log'!BL146="Yes",", Video",""))="","",MID(IF('Visit Log'!AV146="Yes",", Art","")&amp;IF('Visit Log'!AW146="Yes",", Construction","")&amp;IF('Visit Log'!AX146="Yes",", Costumes","")&amp;IF('Visit Log'!AY146="Yes",", Craft Service","")&amp;IF('Visit Log'!AZ146="Yes",", Electrical","")&amp;IF('Visit Log'!BA146="Yes",", Greens","")&amp;IF('Visit Log'!BB146="Yes",", Grip","")&amp;IF('Visit Log'!BC146="Yes",", Locations","")&amp;IF('Visit Log'!BD146="Yes",", Medic","")&amp;IF('Visit Log'!BE146="Yes",", Paint","")&amp;IF('Visit Log'!BF146="Yes",", Plaster","")&amp;IF('Visit Log'!BG146="Yes",", Props","")&amp;IF('Visit Log'!BH146="Yes",", Set Dec","")&amp;IF('Visit Log'!BI146="Yes",", Set Teacher","")&amp;IF('Visit Log'!BJ146="Yes",", Sound","")&amp;IF('Visit Log'!BK146="Yes",", SPFX","")&amp;IF('Visit Log'!BL146="Yes",", Video",""),3,300)))</f>
        <v/>
      </c>
      <c r="F146" s="28">
        <f>IF('Visit Log'!C146="","",'Visit Log'!T146)</f>
        <v/>
      </c>
    </row>
    <row r="147">
      <c r="A147" s="32">
        <f>IF('Visit Log'!C147="","",'Visit Log'!A147)</f>
        <v/>
      </c>
      <c r="B147" s="32">
        <f>IF('Visit Log'!C147="","",'Visit Log'!C147)</f>
        <v/>
      </c>
      <c r="C147" s="32">
        <f>IF('Visit Log'!C147="","",'Visit Log'!D147)</f>
        <v/>
      </c>
      <c r="D147" s="33">
        <f>IF('Visit Log'!C147="","",'Visit Log'!B147)</f>
        <v/>
      </c>
      <c r="E147" s="32">
        <f>IF('Visit Log'!C147="","",IF((IF('Visit Log'!AV147="Yes",", Art","")&amp;IF('Visit Log'!AW147="Yes",", Construction","")&amp;IF('Visit Log'!AX147="Yes",", Costumes","")&amp;IF('Visit Log'!AY147="Yes",", Craft Service","")&amp;IF('Visit Log'!AZ147="Yes",", Electrical","")&amp;IF('Visit Log'!BA147="Yes",", Greens","")&amp;IF('Visit Log'!BB147="Yes",", Grip","")&amp;IF('Visit Log'!BC147="Yes",", Locations","")&amp;IF('Visit Log'!BD147="Yes",", Medic","")&amp;IF('Visit Log'!BE147="Yes",", Paint","")&amp;IF('Visit Log'!BF147="Yes",", Plaster","")&amp;IF('Visit Log'!BG147="Yes",", Props","")&amp;IF('Visit Log'!BH147="Yes",", Set Dec","")&amp;IF('Visit Log'!BI147="Yes",", Set Teacher","")&amp;IF('Visit Log'!BJ147="Yes",", Sound","")&amp;IF('Visit Log'!BK147="Yes",", SPFX","")&amp;IF('Visit Log'!BL147="Yes",", Video",""))="","",MID(IF('Visit Log'!AV147="Yes",", Art","")&amp;IF('Visit Log'!AW147="Yes",", Construction","")&amp;IF('Visit Log'!AX147="Yes",", Costumes","")&amp;IF('Visit Log'!AY147="Yes",", Craft Service","")&amp;IF('Visit Log'!AZ147="Yes",", Electrical","")&amp;IF('Visit Log'!BA147="Yes",", Greens","")&amp;IF('Visit Log'!BB147="Yes",", Grip","")&amp;IF('Visit Log'!BC147="Yes",", Locations","")&amp;IF('Visit Log'!BD147="Yes",", Medic","")&amp;IF('Visit Log'!BE147="Yes",", Paint","")&amp;IF('Visit Log'!BF147="Yes",", Plaster","")&amp;IF('Visit Log'!BG147="Yes",", Props","")&amp;IF('Visit Log'!BH147="Yes",", Set Dec","")&amp;IF('Visit Log'!BI147="Yes",", Set Teacher","")&amp;IF('Visit Log'!BJ147="Yes",", Sound","")&amp;IF('Visit Log'!BK147="Yes",", SPFX","")&amp;IF('Visit Log'!BL147="Yes",", Video",""),3,300)))</f>
        <v/>
      </c>
      <c r="F147" s="32">
        <f>IF('Visit Log'!C147="","",'Visit Log'!T147)</f>
        <v/>
      </c>
    </row>
    <row r="148">
      <c r="A148" s="28">
        <f>IF('Visit Log'!C148="","",'Visit Log'!A148)</f>
        <v/>
      </c>
      <c r="B148" s="28">
        <f>IF('Visit Log'!C148="","",'Visit Log'!C148)</f>
        <v/>
      </c>
      <c r="C148" s="28">
        <f>IF('Visit Log'!C148="","",'Visit Log'!D148)</f>
        <v/>
      </c>
      <c r="D148" s="29">
        <f>IF('Visit Log'!C148="","",'Visit Log'!B148)</f>
        <v/>
      </c>
      <c r="E148" s="28">
        <f>IF('Visit Log'!C148="","",IF((IF('Visit Log'!AV148="Yes",", Art","")&amp;IF('Visit Log'!AW148="Yes",", Construction","")&amp;IF('Visit Log'!AX148="Yes",", Costumes","")&amp;IF('Visit Log'!AY148="Yes",", Craft Service","")&amp;IF('Visit Log'!AZ148="Yes",", Electrical","")&amp;IF('Visit Log'!BA148="Yes",", Greens","")&amp;IF('Visit Log'!BB148="Yes",", Grip","")&amp;IF('Visit Log'!BC148="Yes",", Locations","")&amp;IF('Visit Log'!BD148="Yes",", Medic","")&amp;IF('Visit Log'!BE148="Yes",", Paint","")&amp;IF('Visit Log'!BF148="Yes",", Plaster","")&amp;IF('Visit Log'!BG148="Yes",", Props","")&amp;IF('Visit Log'!BH148="Yes",", Set Dec","")&amp;IF('Visit Log'!BI148="Yes",", Set Teacher","")&amp;IF('Visit Log'!BJ148="Yes",", Sound","")&amp;IF('Visit Log'!BK148="Yes",", SPFX","")&amp;IF('Visit Log'!BL148="Yes",", Video",""))="","",MID(IF('Visit Log'!AV148="Yes",", Art","")&amp;IF('Visit Log'!AW148="Yes",", Construction","")&amp;IF('Visit Log'!AX148="Yes",", Costumes","")&amp;IF('Visit Log'!AY148="Yes",", Craft Service","")&amp;IF('Visit Log'!AZ148="Yes",", Electrical","")&amp;IF('Visit Log'!BA148="Yes",", Greens","")&amp;IF('Visit Log'!BB148="Yes",", Grip","")&amp;IF('Visit Log'!BC148="Yes",", Locations","")&amp;IF('Visit Log'!BD148="Yes",", Medic","")&amp;IF('Visit Log'!BE148="Yes",", Paint","")&amp;IF('Visit Log'!BF148="Yes",", Plaster","")&amp;IF('Visit Log'!BG148="Yes",", Props","")&amp;IF('Visit Log'!BH148="Yes",", Set Dec","")&amp;IF('Visit Log'!BI148="Yes",", Set Teacher","")&amp;IF('Visit Log'!BJ148="Yes",", Sound","")&amp;IF('Visit Log'!BK148="Yes",", SPFX","")&amp;IF('Visit Log'!BL148="Yes",", Video",""),3,300)))</f>
        <v/>
      </c>
      <c r="F148" s="28">
        <f>IF('Visit Log'!C148="","",'Visit Log'!T148)</f>
        <v/>
      </c>
    </row>
    <row r="149">
      <c r="A149" s="32">
        <f>IF('Visit Log'!C149="","",'Visit Log'!A149)</f>
        <v/>
      </c>
      <c r="B149" s="32">
        <f>IF('Visit Log'!C149="","",'Visit Log'!C149)</f>
        <v/>
      </c>
      <c r="C149" s="32">
        <f>IF('Visit Log'!C149="","",'Visit Log'!D149)</f>
        <v/>
      </c>
      <c r="D149" s="33">
        <f>IF('Visit Log'!C149="","",'Visit Log'!B149)</f>
        <v/>
      </c>
      <c r="E149" s="32">
        <f>IF('Visit Log'!C149="","",IF((IF('Visit Log'!AV149="Yes",", Art","")&amp;IF('Visit Log'!AW149="Yes",", Construction","")&amp;IF('Visit Log'!AX149="Yes",", Costumes","")&amp;IF('Visit Log'!AY149="Yes",", Craft Service","")&amp;IF('Visit Log'!AZ149="Yes",", Electrical","")&amp;IF('Visit Log'!BA149="Yes",", Greens","")&amp;IF('Visit Log'!BB149="Yes",", Grip","")&amp;IF('Visit Log'!BC149="Yes",", Locations","")&amp;IF('Visit Log'!BD149="Yes",", Medic","")&amp;IF('Visit Log'!BE149="Yes",", Paint","")&amp;IF('Visit Log'!BF149="Yes",", Plaster","")&amp;IF('Visit Log'!BG149="Yes",", Props","")&amp;IF('Visit Log'!BH149="Yes",", Set Dec","")&amp;IF('Visit Log'!BI149="Yes",", Set Teacher","")&amp;IF('Visit Log'!BJ149="Yes",", Sound","")&amp;IF('Visit Log'!BK149="Yes",", SPFX","")&amp;IF('Visit Log'!BL149="Yes",", Video",""))="","",MID(IF('Visit Log'!AV149="Yes",", Art","")&amp;IF('Visit Log'!AW149="Yes",", Construction","")&amp;IF('Visit Log'!AX149="Yes",", Costumes","")&amp;IF('Visit Log'!AY149="Yes",", Craft Service","")&amp;IF('Visit Log'!AZ149="Yes",", Electrical","")&amp;IF('Visit Log'!BA149="Yes",", Greens","")&amp;IF('Visit Log'!BB149="Yes",", Grip","")&amp;IF('Visit Log'!BC149="Yes",", Locations","")&amp;IF('Visit Log'!BD149="Yes",", Medic","")&amp;IF('Visit Log'!BE149="Yes",", Paint","")&amp;IF('Visit Log'!BF149="Yes",", Plaster","")&amp;IF('Visit Log'!BG149="Yes",", Props","")&amp;IF('Visit Log'!BH149="Yes",", Set Dec","")&amp;IF('Visit Log'!BI149="Yes",", Set Teacher","")&amp;IF('Visit Log'!BJ149="Yes",", Sound","")&amp;IF('Visit Log'!BK149="Yes",", SPFX","")&amp;IF('Visit Log'!BL149="Yes",", Video",""),3,300)))</f>
        <v/>
      </c>
      <c r="F149" s="32">
        <f>IF('Visit Log'!C149="","",'Visit Log'!T149)</f>
        <v/>
      </c>
    </row>
    <row r="150">
      <c r="A150" s="28">
        <f>IF('Visit Log'!C150="","",'Visit Log'!A150)</f>
        <v/>
      </c>
      <c r="B150" s="28">
        <f>IF('Visit Log'!C150="","",'Visit Log'!C150)</f>
        <v/>
      </c>
      <c r="C150" s="28">
        <f>IF('Visit Log'!C150="","",'Visit Log'!D150)</f>
        <v/>
      </c>
      <c r="D150" s="29">
        <f>IF('Visit Log'!C150="","",'Visit Log'!B150)</f>
        <v/>
      </c>
      <c r="E150" s="28">
        <f>IF('Visit Log'!C150="","",IF((IF('Visit Log'!AV150="Yes",", Art","")&amp;IF('Visit Log'!AW150="Yes",", Construction","")&amp;IF('Visit Log'!AX150="Yes",", Costumes","")&amp;IF('Visit Log'!AY150="Yes",", Craft Service","")&amp;IF('Visit Log'!AZ150="Yes",", Electrical","")&amp;IF('Visit Log'!BA150="Yes",", Greens","")&amp;IF('Visit Log'!BB150="Yes",", Grip","")&amp;IF('Visit Log'!BC150="Yes",", Locations","")&amp;IF('Visit Log'!BD150="Yes",", Medic","")&amp;IF('Visit Log'!BE150="Yes",", Paint","")&amp;IF('Visit Log'!BF150="Yes",", Plaster","")&amp;IF('Visit Log'!BG150="Yes",", Props","")&amp;IF('Visit Log'!BH150="Yes",", Set Dec","")&amp;IF('Visit Log'!BI150="Yes",", Set Teacher","")&amp;IF('Visit Log'!BJ150="Yes",", Sound","")&amp;IF('Visit Log'!BK150="Yes",", SPFX","")&amp;IF('Visit Log'!BL150="Yes",", Video",""))="","",MID(IF('Visit Log'!AV150="Yes",", Art","")&amp;IF('Visit Log'!AW150="Yes",", Construction","")&amp;IF('Visit Log'!AX150="Yes",", Costumes","")&amp;IF('Visit Log'!AY150="Yes",", Craft Service","")&amp;IF('Visit Log'!AZ150="Yes",", Electrical","")&amp;IF('Visit Log'!BA150="Yes",", Greens","")&amp;IF('Visit Log'!BB150="Yes",", Grip","")&amp;IF('Visit Log'!BC150="Yes",", Locations","")&amp;IF('Visit Log'!BD150="Yes",", Medic","")&amp;IF('Visit Log'!BE150="Yes",", Paint","")&amp;IF('Visit Log'!BF150="Yes",", Plaster","")&amp;IF('Visit Log'!BG150="Yes",", Props","")&amp;IF('Visit Log'!BH150="Yes",", Set Dec","")&amp;IF('Visit Log'!BI150="Yes",", Set Teacher","")&amp;IF('Visit Log'!BJ150="Yes",", Sound","")&amp;IF('Visit Log'!BK150="Yes",", SPFX","")&amp;IF('Visit Log'!BL150="Yes",", Video",""),3,300)))</f>
        <v/>
      </c>
      <c r="F150" s="28">
        <f>IF('Visit Log'!C150="","",'Visit Log'!T150)</f>
        <v/>
      </c>
    </row>
    <row r="151">
      <c r="A151" s="32">
        <f>IF('Visit Log'!C151="","",'Visit Log'!A151)</f>
        <v/>
      </c>
      <c r="B151" s="32">
        <f>IF('Visit Log'!C151="","",'Visit Log'!C151)</f>
        <v/>
      </c>
      <c r="C151" s="32">
        <f>IF('Visit Log'!C151="","",'Visit Log'!D151)</f>
        <v/>
      </c>
      <c r="D151" s="33">
        <f>IF('Visit Log'!C151="","",'Visit Log'!B151)</f>
        <v/>
      </c>
      <c r="E151" s="32">
        <f>IF('Visit Log'!C151="","",IF((IF('Visit Log'!AV151="Yes",", Art","")&amp;IF('Visit Log'!AW151="Yes",", Construction","")&amp;IF('Visit Log'!AX151="Yes",", Costumes","")&amp;IF('Visit Log'!AY151="Yes",", Craft Service","")&amp;IF('Visit Log'!AZ151="Yes",", Electrical","")&amp;IF('Visit Log'!BA151="Yes",", Greens","")&amp;IF('Visit Log'!BB151="Yes",", Grip","")&amp;IF('Visit Log'!BC151="Yes",", Locations","")&amp;IF('Visit Log'!BD151="Yes",", Medic","")&amp;IF('Visit Log'!BE151="Yes",", Paint","")&amp;IF('Visit Log'!BF151="Yes",", Plaster","")&amp;IF('Visit Log'!BG151="Yes",", Props","")&amp;IF('Visit Log'!BH151="Yes",", Set Dec","")&amp;IF('Visit Log'!BI151="Yes",", Set Teacher","")&amp;IF('Visit Log'!BJ151="Yes",", Sound","")&amp;IF('Visit Log'!BK151="Yes",", SPFX","")&amp;IF('Visit Log'!BL151="Yes",", Video",""))="","",MID(IF('Visit Log'!AV151="Yes",", Art","")&amp;IF('Visit Log'!AW151="Yes",", Construction","")&amp;IF('Visit Log'!AX151="Yes",", Costumes","")&amp;IF('Visit Log'!AY151="Yes",", Craft Service","")&amp;IF('Visit Log'!AZ151="Yes",", Electrical","")&amp;IF('Visit Log'!BA151="Yes",", Greens","")&amp;IF('Visit Log'!BB151="Yes",", Grip","")&amp;IF('Visit Log'!BC151="Yes",", Locations","")&amp;IF('Visit Log'!BD151="Yes",", Medic","")&amp;IF('Visit Log'!BE151="Yes",", Paint","")&amp;IF('Visit Log'!BF151="Yes",", Plaster","")&amp;IF('Visit Log'!BG151="Yes",", Props","")&amp;IF('Visit Log'!BH151="Yes",", Set Dec","")&amp;IF('Visit Log'!BI151="Yes",", Set Teacher","")&amp;IF('Visit Log'!BJ151="Yes",", Sound","")&amp;IF('Visit Log'!BK151="Yes",", SPFX","")&amp;IF('Visit Log'!BL151="Yes",", Video",""),3,300)))</f>
        <v/>
      </c>
      <c r="F151" s="32">
        <f>IF('Visit Log'!C151="","",'Visit Log'!T151)</f>
        <v/>
      </c>
    </row>
    <row r="152">
      <c r="A152" s="28">
        <f>IF('Visit Log'!C152="","",'Visit Log'!A152)</f>
        <v/>
      </c>
      <c r="B152" s="28">
        <f>IF('Visit Log'!C152="","",'Visit Log'!C152)</f>
        <v/>
      </c>
      <c r="C152" s="28">
        <f>IF('Visit Log'!C152="","",'Visit Log'!D152)</f>
        <v/>
      </c>
      <c r="D152" s="29">
        <f>IF('Visit Log'!C152="","",'Visit Log'!B152)</f>
        <v/>
      </c>
      <c r="E152" s="28">
        <f>IF('Visit Log'!C152="","",IF((IF('Visit Log'!AV152="Yes",", Art","")&amp;IF('Visit Log'!AW152="Yes",", Construction","")&amp;IF('Visit Log'!AX152="Yes",", Costumes","")&amp;IF('Visit Log'!AY152="Yes",", Craft Service","")&amp;IF('Visit Log'!AZ152="Yes",", Electrical","")&amp;IF('Visit Log'!BA152="Yes",", Greens","")&amp;IF('Visit Log'!BB152="Yes",", Grip","")&amp;IF('Visit Log'!BC152="Yes",", Locations","")&amp;IF('Visit Log'!BD152="Yes",", Medic","")&amp;IF('Visit Log'!BE152="Yes",", Paint","")&amp;IF('Visit Log'!BF152="Yes",", Plaster","")&amp;IF('Visit Log'!BG152="Yes",", Props","")&amp;IF('Visit Log'!BH152="Yes",", Set Dec","")&amp;IF('Visit Log'!BI152="Yes",", Set Teacher","")&amp;IF('Visit Log'!BJ152="Yes",", Sound","")&amp;IF('Visit Log'!BK152="Yes",", SPFX","")&amp;IF('Visit Log'!BL152="Yes",", Video",""))="","",MID(IF('Visit Log'!AV152="Yes",", Art","")&amp;IF('Visit Log'!AW152="Yes",", Construction","")&amp;IF('Visit Log'!AX152="Yes",", Costumes","")&amp;IF('Visit Log'!AY152="Yes",", Craft Service","")&amp;IF('Visit Log'!AZ152="Yes",", Electrical","")&amp;IF('Visit Log'!BA152="Yes",", Greens","")&amp;IF('Visit Log'!BB152="Yes",", Grip","")&amp;IF('Visit Log'!BC152="Yes",", Locations","")&amp;IF('Visit Log'!BD152="Yes",", Medic","")&amp;IF('Visit Log'!BE152="Yes",", Paint","")&amp;IF('Visit Log'!BF152="Yes",", Plaster","")&amp;IF('Visit Log'!BG152="Yes",", Props","")&amp;IF('Visit Log'!BH152="Yes",", Set Dec","")&amp;IF('Visit Log'!BI152="Yes",", Set Teacher","")&amp;IF('Visit Log'!BJ152="Yes",", Sound","")&amp;IF('Visit Log'!BK152="Yes",", SPFX","")&amp;IF('Visit Log'!BL152="Yes",", Video",""),3,300)))</f>
        <v/>
      </c>
      <c r="F152" s="28">
        <f>IF('Visit Log'!C152="","",'Visit Log'!T152)</f>
        <v/>
      </c>
    </row>
    <row r="153">
      <c r="A153" s="32">
        <f>IF('Visit Log'!C153="","",'Visit Log'!A153)</f>
        <v/>
      </c>
      <c r="B153" s="32">
        <f>IF('Visit Log'!C153="","",'Visit Log'!C153)</f>
        <v/>
      </c>
      <c r="C153" s="32">
        <f>IF('Visit Log'!C153="","",'Visit Log'!D153)</f>
        <v/>
      </c>
      <c r="D153" s="33">
        <f>IF('Visit Log'!C153="","",'Visit Log'!B153)</f>
        <v/>
      </c>
      <c r="E153" s="32">
        <f>IF('Visit Log'!C153="","",IF((IF('Visit Log'!AV153="Yes",", Art","")&amp;IF('Visit Log'!AW153="Yes",", Construction","")&amp;IF('Visit Log'!AX153="Yes",", Costumes","")&amp;IF('Visit Log'!AY153="Yes",", Craft Service","")&amp;IF('Visit Log'!AZ153="Yes",", Electrical","")&amp;IF('Visit Log'!BA153="Yes",", Greens","")&amp;IF('Visit Log'!BB153="Yes",", Grip","")&amp;IF('Visit Log'!BC153="Yes",", Locations","")&amp;IF('Visit Log'!BD153="Yes",", Medic","")&amp;IF('Visit Log'!BE153="Yes",", Paint","")&amp;IF('Visit Log'!BF153="Yes",", Plaster","")&amp;IF('Visit Log'!BG153="Yes",", Props","")&amp;IF('Visit Log'!BH153="Yes",", Set Dec","")&amp;IF('Visit Log'!BI153="Yes",", Set Teacher","")&amp;IF('Visit Log'!BJ153="Yes",", Sound","")&amp;IF('Visit Log'!BK153="Yes",", SPFX","")&amp;IF('Visit Log'!BL153="Yes",", Video",""))="","",MID(IF('Visit Log'!AV153="Yes",", Art","")&amp;IF('Visit Log'!AW153="Yes",", Construction","")&amp;IF('Visit Log'!AX153="Yes",", Costumes","")&amp;IF('Visit Log'!AY153="Yes",", Craft Service","")&amp;IF('Visit Log'!AZ153="Yes",", Electrical","")&amp;IF('Visit Log'!BA153="Yes",", Greens","")&amp;IF('Visit Log'!BB153="Yes",", Grip","")&amp;IF('Visit Log'!BC153="Yes",", Locations","")&amp;IF('Visit Log'!BD153="Yes",", Medic","")&amp;IF('Visit Log'!BE153="Yes",", Paint","")&amp;IF('Visit Log'!BF153="Yes",", Plaster","")&amp;IF('Visit Log'!BG153="Yes",", Props","")&amp;IF('Visit Log'!BH153="Yes",", Set Dec","")&amp;IF('Visit Log'!BI153="Yes",", Set Teacher","")&amp;IF('Visit Log'!BJ153="Yes",", Sound","")&amp;IF('Visit Log'!BK153="Yes",", SPFX","")&amp;IF('Visit Log'!BL153="Yes",", Video",""),3,300)))</f>
        <v/>
      </c>
      <c r="F153" s="32">
        <f>IF('Visit Log'!C153="","",'Visit Log'!T153)</f>
        <v/>
      </c>
    </row>
    <row r="154">
      <c r="A154" s="28">
        <f>IF('Visit Log'!C154="","",'Visit Log'!A154)</f>
        <v/>
      </c>
      <c r="B154" s="28">
        <f>IF('Visit Log'!C154="","",'Visit Log'!C154)</f>
        <v/>
      </c>
      <c r="C154" s="28">
        <f>IF('Visit Log'!C154="","",'Visit Log'!D154)</f>
        <v/>
      </c>
      <c r="D154" s="29">
        <f>IF('Visit Log'!C154="","",'Visit Log'!B154)</f>
        <v/>
      </c>
      <c r="E154" s="28">
        <f>IF('Visit Log'!C154="","",IF((IF('Visit Log'!AV154="Yes",", Art","")&amp;IF('Visit Log'!AW154="Yes",", Construction","")&amp;IF('Visit Log'!AX154="Yes",", Costumes","")&amp;IF('Visit Log'!AY154="Yes",", Craft Service","")&amp;IF('Visit Log'!AZ154="Yes",", Electrical","")&amp;IF('Visit Log'!BA154="Yes",", Greens","")&amp;IF('Visit Log'!BB154="Yes",", Grip","")&amp;IF('Visit Log'!BC154="Yes",", Locations","")&amp;IF('Visit Log'!BD154="Yes",", Medic","")&amp;IF('Visit Log'!BE154="Yes",", Paint","")&amp;IF('Visit Log'!BF154="Yes",", Plaster","")&amp;IF('Visit Log'!BG154="Yes",", Props","")&amp;IF('Visit Log'!BH154="Yes",", Set Dec","")&amp;IF('Visit Log'!BI154="Yes",", Set Teacher","")&amp;IF('Visit Log'!BJ154="Yes",", Sound","")&amp;IF('Visit Log'!BK154="Yes",", SPFX","")&amp;IF('Visit Log'!BL154="Yes",", Video",""))="","",MID(IF('Visit Log'!AV154="Yes",", Art","")&amp;IF('Visit Log'!AW154="Yes",", Construction","")&amp;IF('Visit Log'!AX154="Yes",", Costumes","")&amp;IF('Visit Log'!AY154="Yes",", Craft Service","")&amp;IF('Visit Log'!AZ154="Yes",", Electrical","")&amp;IF('Visit Log'!BA154="Yes",", Greens","")&amp;IF('Visit Log'!BB154="Yes",", Grip","")&amp;IF('Visit Log'!BC154="Yes",", Locations","")&amp;IF('Visit Log'!BD154="Yes",", Medic","")&amp;IF('Visit Log'!BE154="Yes",", Paint","")&amp;IF('Visit Log'!BF154="Yes",", Plaster","")&amp;IF('Visit Log'!BG154="Yes",", Props","")&amp;IF('Visit Log'!BH154="Yes",", Set Dec","")&amp;IF('Visit Log'!BI154="Yes",", Set Teacher","")&amp;IF('Visit Log'!BJ154="Yes",", Sound","")&amp;IF('Visit Log'!BK154="Yes",", SPFX","")&amp;IF('Visit Log'!BL154="Yes",", Video",""),3,300)))</f>
        <v/>
      </c>
      <c r="F154" s="28">
        <f>IF('Visit Log'!C154="","",'Visit Log'!T154)</f>
        <v/>
      </c>
    </row>
    <row r="155">
      <c r="A155" s="32">
        <f>IF('Visit Log'!C155="","",'Visit Log'!A155)</f>
        <v/>
      </c>
      <c r="B155" s="32">
        <f>IF('Visit Log'!C155="","",'Visit Log'!C155)</f>
        <v/>
      </c>
      <c r="C155" s="32">
        <f>IF('Visit Log'!C155="","",'Visit Log'!D155)</f>
        <v/>
      </c>
      <c r="D155" s="33">
        <f>IF('Visit Log'!C155="","",'Visit Log'!B155)</f>
        <v/>
      </c>
      <c r="E155" s="32">
        <f>IF('Visit Log'!C155="","",IF((IF('Visit Log'!AV155="Yes",", Art","")&amp;IF('Visit Log'!AW155="Yes",", Construction","")&amp;IF('Visit Log'!AX155="Yes",", Costumes","")&amp;IF('Visit Log'!AY155="Yes",", Craft Service","")&amp;IF('Visit Log'!AZ155="Yes",", Electrical","")&amp;IF('Visit Log'!BA155="Yes",", Greens","")&amp;IF('Visit Log'!BB155="Yes",", Grip","")&amp;IF('Visit Log'!BC155="Yes",", Locations","")&amp;IF('Visit Log'!BD155="Yes",", Medic","")&amp;IF('Visit Log'!BE155="Yes",", Paint","")&amp;IF('Visit Log'!BF155="Yes",", Plaster","")&amp;IF('Visit Log'!BG155="Yes",", Props","")&amp;IF('Visit Log'!BH155="Yes",", Set Dec","")&amp;IF('Visit Log'!BI155="Yes",", Set Teacher","")&amp;IF('Visit Log'!BJ155="Yes",", Sound","")&amp;IF('Visit Log'!BK155="Yes",", SPFX","")&amp;IF('Visit Log'!BL155="Yes",", Video",""))="","",MID(IF('Visit Log'!AV155="Yes",", Art","")&amp;IF('Visit Log'!AW155="Yes",", Construction","")&amp;IF('Visit Log'!AX155="Yes",", Costumes","")&amp;IF('Visit Log'!AY155="Yes",", Craft Service","")&amp;IF('Visit Log'!AZ155="Yes",", Electrical","")&amp;IF('Visit Log'!BA155="Yes",", Greens","")&amp;IF('Visit Log'!BB155="Yes",", Grip","")&amp;IF('Visit Log'!BC155="Yes",", Locations","")&amp;IF('Visit Log'!BD155="Yes",", Medic","")&amp;IF('Visit Log'!BE155="Yes",", Paint","")&amp;IF('Visit Log'!BF155="Yes",", Plaster","")&amp;IF('Visit Log'!BG155="Yes",", Props","")&amp;IF('Visit Log'!BH155="Yes",", Set Dec","")&amp;IF('Visit Log'!BI155="Yes",", Set Teacher","")&amp;IF('Visit Log'!BJ155="Yes",", Sound","")&amp;IF('Visit Log'!BK155="Yes",", SPFX","")&amp;IF('Visit Log'!BL155="Yes",", Video",""),3,300)))</f>
        <v/>
      </c>
      <c r="F155" s="32">
        <f>IF('Visit Log'!C155="","",'Visit Log'!T155)</f>
        <v/>
      </c>
    </row>
    <row r="156">
      <c r="A156" s="28">
        <f>IF('Visit Log'!C156="","",'Visit Log'!A156)</f>
        <v/>
      </c>
      <c r="B156" s="28">
        <f>IF('Visit Log'!C156="","",'Visit Log'!C156)</f>
        <v/>
      </c>
      <c r="C156" s="28">
        <f>IF('Visit Log'!C156="","",'Visit Log'!D156)</f>
        <v/>
      </c>
      <c r="D156" s="29">
        <f>IF('Visit Log'!C156="","",'Visit Log'!B156)</f>
        <v/>
      </c>
      <c r="E156" s="28">
        <f>IF('Visit Log'!C156="","",IF((IF('Visit Log'!AV156="Yes",", Art","")&amp;IF('Visit Log'!AW156="Yes",", Construction","")&amp;IF('Visit Log'!AX156="Yes",", Costumes","")&amp;IF('Visit Log'!AY156="Yes",", Craft Service","")&amp;IF('Visit Log'!AZ156="Yes",", Electrical","")&amp;IF('Visit Log'!BA156="Yes",", Greens","")&amp;IF('Visit Log'!BB156="Yes",", Grip","")&amp;IF('Visit Log'!BC156="Yes",", Locations","")&amp;IF('Visit Log'!BD156="Yes",", Medic","")&amp;IF('Visit Log'!BE156="Yes",", Paint","")&amp;IF('Visit Log'!BF156="Yes",", Plaster","")&amp;IF('Visit Log'!BG156="Yes",", Props","")&amp;IF('Visit Log'!BH156="Yes",", Set Dec","")&amp;IF('Visit Log'!BI156="Yes",", Set Teacher","")&amp;IF('Visit Log'!BJ156="Yes",", Sound","")&amp;IF('Visit Log'!BK156="Yes",", SPFX","")&amp;IF('Visit Log'!BL156="Yes",", Video",""))="","",MID(IF('Visit Log'!AV156="Yes",", Art","")&amp;IF('Visit Log'!AW156="Yes",", Construction","")&amp;IF('Visit Log'!AX156="Yes",", Costumes","")&amp;IF('Visit Log'!AY156="Yes",", Craft Service","")&amp;IF('Visit Log'!AZ156="Yes",", Electrical","")&amp;IF('Visit Log'!BA156="Yes",", Greens","")&amp;IF('Visit Log'!BB156="Yes",", Grip","")&amp;IF('Visit Log'!BC156="Yes",", Locations","")&amp;IF('Visit Log'!BD156="Yes",", Medic","")&amp;IF('Visit Log'!BE156="Yes",", Paint","")&amp;IF('Visit Log'!BF156="Yes",", Plaster","")&amp;IF('Visit Log'!BG156="Yes",", Props","")&amp;IF('Visit Log'!BH156="Yes",", Set Dec","")&amp;IF('Visit Log'!BI156="Yes",", Set Teacher","")&amp;IF('Visit Log'!BJ156="Yes",", Sound","")&amp;IF('Visit Log'!BK156="Yes",", SPFX","")&amp;IF('Visit Log'!BL156="Yes",", Video",""),3,300)))</f>
        <v/>
      </c>
      <c r="F156" s="28">
        <f>IF('Visit Log'!C156="","",'Visit Log'!T156)</f>
        <v/>
      </c>
    </row>
    <row r="157">
      <c r="A157" s="32">
        <f>IF('Visit Log'!C157="","",'Visit Log'!A157)</f>
        <v/>
      </c>
      <c r="B157" s="32">
        <f>IF('Visit Log'!C157="","",'Visit Log'!C157)</f>
        <v/>
      </c>
      <c r="C157" s="32">
        <f>IF('Visit Log'!C157="","",'Visit Log'!D157)</f>
        <v/>
      </c>
      <c r="D157" s="33">
        <f>IF('Visit Log'!C157="","",'Visit Log'!B157)</f>
        <v/>
      </c>
      <c r="E157" s="32">
        <f>IF('Visit Log'!C157="","",IF((IF('Visit Log'!AV157="Yes",", Art","")&amp;IF('Visit Log'!AW157="Yes",", Construction","")&amp;IF('Visit Log'!AX157="Yes",", Costumes","")&amp;IF('Visit Log'!AY157="Yes",", Craft Service","")&amp;IF('Visit Log'!AZ157="Yes",", Electrical","")&amp;IF('Visit Log'!BA157="Yes",", Greens","")&amp;IF('Visit Log'!BB157="Yes",", Grip","")&amp;IF('Visit Log'!BC157="Yes",", Locations","")&amp;IF('Visit Log'!BD157="Yes",", Medic","")&amp;IF('Visit Log'!BE157="Yes",", Paint","")&amp;IF('Visit Log'!BF157="Yes",", Plaster","")&amp;IF('Visit Log'!BG157="Yes",", Props","")&amp;IF('Visit Log'!BH157="Yes",", Set Dec","")&amp;IF('Visit Log'!BI157="Yes",", Set Teacher","")&amp;IF('Visit Log'!BJ157="Yes",", Sound","")&amp;IF('Visit Log'!BK157="Yes",", SPFX","")&amp;IF('Visit Log'!BL157="Yes",", Video",""))="","",MID(IF('Visit Log'!AV157="Yes",", Art","")&amp;IF('Visit Log'!AW157="Yes",", Construction","")&amp;IF('Visit Log'!AX157="Yes",", Costumes","")&amp;IF('Visit Log'!AY157="Yes",", Craft Service","")&amp;IF('Visit Log'!AZ157="Yes",", Electrical","")&amp;IF('Visit Log'!BA157="Yes",", Greens","")&amp;IF('Visit Log'!BB157="Yes",", Grip","")&amp;IF('Visit Log'!BC157="Yes",", Locations","")&amp;IF('Visit Log'!BD157="Yes",", Medic","")&amp;IF('Visit Log'!BE157="Yes",", Paint","")&amp;IF('Visit Log'!BF157="Yes",", Plaster","")&amp;IF('Visit Log'!BG157="Yes",", Props","")&amp;IF('Visit Log'!BH157="Yes",", Set Dec","")&amp;IF('Visit Log'!BI157="Yes",", Set Teacher","")&amp;IF('Visit Log'!BJ157="Yes",", Sound","")&amp;IF('Visit Log'!BK157="Yes",", SPFX","")&amp;IF('Visit Log'!BL157="Yes",", Video",""),3,300)))</f>
        <v/>
      </c>
      <c r="F157" s="32">
        <f>IF('Visit Log'!C157="","",'Visit Log'!T157)</f>
        <v/>
      </c>
    </row>
    <row r="158">
      <c r="A158" s="28">
        <f>IF('Visit Log'!C158="","",'Visit Log'!A158)</f>
        <v/>
      </c>
      <c r="B158" s="28">
        <f>IF('Visit Log'!C158="","",'Visit Log'!C158)</f>
        <v/>
      </c>
      <c r="C158" s="28">
        <f>IF('Visit Log'!C158="","",'Visit Log'!D158)</f>
        <v/>
      </c>
      <c r="D158" s="29">
        <f>IF('Visit Log'!C158="","",'Visit Log'!B158)</f>
        <v/>
      </c>
      <c r="E158" s="28">
        <f>IF('Visit Log'!C158="","",IF((IF('Visit Log'!AV158="Yes",", Art","")&amp;IF('Visit Log'!AW158="Yes",", Construction","")&amp;IF('Visit Log'!AX158="Yes",", Costumes","")&amp;IF('Visit Log'!AY158="Yes",", Craft Service","")&amp;IF('Visit Log'!AZ158="Yes",", Electrical","")&amp;IF('Visit Log'!BA158="Yes",", Greens","")&amp;IF('Visit Log'!BB158="Yes",", Grip","")&amp;IF('Visit Log'!BC158="Yes",", Locations","")&amp;IF('Visit Log'!BD158="Yes",", Medic","")&amp;IF('Visit Log'!BE158="Yes",", Paint","")&amp;IF('Visit Log'!BF158="Yes",", Plaster","")&amp;IF('Visit Log'!BG158="Yes",", Props","")&amp;IF('Visit Log'!BH158="Yes",", Set Dec","")&amp;IF('Visit Log'!BI158="Yes",", Set Teacher","")&amp;IF('Visit Log'!BJ158="Yes",", Sound","")&amp;IF('Visit Log'!BK158="Yes",", SPFX","")&amp;IF('Visit Log'!BL158="Yes",", Video",""))="","",MID(IF('Visit Log'!AV158="Yes",", Art","")&amp;IF('Visit Log'!AW158="Yes",", Construction","")&amp;IF('Visit Log'!AX158="Yes",", Costumes","")&amp;IF('Visit Log'!AY158="Yes",", Craft Service","")&amp;IF('Visit Log'!AZ158="Yes",", Electrical","")&amp;IF('Visit Log'!BA158="Yes",", Greens","")&amp;IF('Visit Log'!BB158="Yes",", Grip","")&amp;IF('Visit Log'!BC158="Yes",", Locations","")&amp;IF('Visit Log'!BD158="Yes",", Medic","")&amp;IF('Visit Log'!BE158="Yes",", Paint","")&amp;IF('Visit Log'!BF158="Yes",", Plaster","")&amp;IF('Visit Log'!BG158="Yes",", Props","")&amp;IF('Visit Log'!BH158="Yes",", Set Dec","")&amp;IF('Visit Log'!BI158="Yes",", Set Teacher","")&amp;IF('Visit Log'!BJ158="Yes",", Sound","")&amp;IF('Visit Log'!BK158="Yes",", SPFX","")&amp;IF('Visit Log'!BL158="Yes",", Video",""),3,300)))</f>
        <v/>
      </c>
      <c r="F158" s="28">
        <f>IF('Visit Log'!C158="","",'Visit Log'!T158)</f>
        <v/>
      </c>
    </row>
    <row r="159">
      <c r="A159" s="32">
        <f>IF('Visit Log'!C159="","",'Visit Log'!A159)</f>
        <v/>
      </c>
      <c r="B159" s="32">
        <f>IF('Visit Log'!C159="","",'Visit Log'!C159)</f>
        <v/>
      </c>
      <c r="C159" s="32">
        <f>IF('Visit Log'!C159="","",'Visit Log'!D159)</f>
        <v/>
      </c>
      <c r="D159" s="33">
        <f>IF('Visit Log'!C159="","",'Visit Log'!B159)</f>
        <v/>
      </c>
      <c r="E159" s="32">
        <f>IF('Visit Log'!C159="","",IF((IF('Visit Log'!AV159="Yes",", Art","")&amp;IF('Visit Log'!AW159="Yes",", Construction","")&amp;IF('Visit Log'!AX159="Yes",", Costumes","")&amp;IF('Visit Log'!AY159="Yes",", Craft Service","")&amp;IF('Visit Log'!AZ159="Yes",", Electrical","")&amp;IF('Visit Log'!BA159="Yes",", Greens","")&amp;IF('Visit Log'!BB159="Yes",", Grip","")&amp;IF('Visit Log'!BC159="Yes",", Locations","")&amp;IF('Visit Log'!BD159="Yes",", Medic","")&amp;IF('Visit Log'!BE159="Yes",", Paint","")&amp;IF('Visit Log'!BF159="Yes",", Plaster","")&amp;IF('Visit Log'!BG159="Yes",", Props","")&amp;IF('Visit Log'!BH159="Yes",", Set Dec","")&amp;IF('Visit Log'!BI159="Yes",", Set Teacher","")&amp;IF('Visit Log'!BJ159="Yes",", Sound","")&amp;IF('Visit Log'!BK159="Yes",", SPFX","")&amp;IF('Visit Log'!BL159="Yes",", Video",""))="","",MID(IF('Visit Log'!AV159="Yes",", Art","")&amp;IF('Visit Log'!AW159="Yes",", Construction","")&amp;IF('Visit Log'!AX159="Yes",", Costumes","")&amp;IF('Visit Log'!AY159="Yes",", Craft Service","")&amp;IF('Visit Log'!AZ159="Yes",", Electrical","")&amp;IF('Visit Log'!BA159="Yes",", Greens","")&amp;IF('Visit Log'!BB159="Yes",", Grip","")&amp;IF('Visit Log'!BC159="Yes",", Locations","")&amp;IF('Visit Log'!BD159="Yes",", Medic","")&amp;IF('Visit Log'!BE159="Yes",", Paint","")&amp;IF('Visit Log'!BF159="Yes",", Plaster","")&amp;IF('Visit Log'!BG159="Yes",", Props","")&amp;IF('Visit Log'!BH159="Yes",", Set Dec","")&amp;IF('Visit Log'!BI159="Yes",", Set Teacher","")&amp;IF('Visit Log'!BJ159="Yes",", Sound","")&amp;IF('Visit Log'!BK159="Yes",", SPFX","")&amp;IF('Visit Log'!BL159="Yes",", Video",""),3,300)))</f>
        <v/>
      </c>
      <c r="F159" s="32">
        <f>IF('Visit Log'!C159="","",'Visit Log'!T159)</f>
        <v/>
      </c>
    </row>
    <row r="160">
      <c r="A160" s="28">
        <f>IF('Visit Log'!C160="","",'Visit Log'!A160)</f>
        <v/>
      </c>
      <c r="B160" s="28">
        <f>IF('Visit Log'!C160="","",'Visit Log'!C160)</f>
        <v/>
      </c>
      <c r="C160" s="28">
        <f>IF('Visit Log'!C160="","",'Visit Log'!D160)</f>
        <v/>
      </c>
      <c r="D160" s="29">
        <f>IF('Visit Log'!C160="","",'Visit Log'!B160)</f>
        <v/>
      </c>
      <c r="E160" s="28">
        <f>IF('Visit Log'!C160="","",IF((IF('Visit Log'!AV160="Yes",", Art","")&amp;IF('Visit Log'!AW160="Yes",", Construction","")&amp;IF('Visit Log'!AX160="Yes",", Costumes","")&amp;IF('Visit Log'!AY160="Yes",", Craft Service","")&amp;IF('Visit Log'!AZ160="Yes",", Electrical","")&amp;IF('Visit Log'!BA160="Yes",", Greens","")&amp;IF('Visit Log'!BB160="Yes",", Grip","")&amp;IF('Visit Log'!BC160="Yes",", Locations","")&amp;IF('Visit Log'!BD160="Yes",", Medic","")&amp;IF('Visit Log'!BE160="Yes",", Paint","")&amp;IF('Visit Log'!BF160="Yes",", Plaster","")&amp;IF('Visit Log'!BG160="Yes",", Props","")&amp;IF('Visit Log'!BH160="Yes",", Set Dec","")&amp;IF('Visit Log'!BI160="Yes",", Set Teacher","")&amp;IF('Visit Log'!BJ160="Yes",", Sound","")&amp;IF('Visit Log'!BK160="Yes",", SPFX","")&amp;IF('Visit Log'!BL160="Yes",", Video",""))="","",MID(IF('Visit Log'!AV160="Yes",", Art","")&amp;IF('Visit Log'!AW160="Yes",", Construction","")&amp;IF('Visit Log'!AX160="Yes",", Costumes","")&amp;IF('Visit Log'!AY160="Yes",", Craft Service","")&amp;IF('Visit Log'!AZ160="Yes",", Electrical","")&amp;IF('Visit Log'!BA160="Yes",", Greens","")&amp;IF('Visit Log'!BB160="Yes",", Grip","")&amp;IF('Visit Log'!BC160="Yes",", Locations","")&amp;IF('Visit Log'!BD160="Yes",", Medic","")&amp;IF('Visit Log'!BE160="Yes",", Paint","")&amp;IF('Visit Log'!BF160="Yes",", Plaster","")&amp;IF('Visit Log'!BG160="Yes",", Props","")&amp;IF('Visit Log'!BH160="Yes",", Set Dec","")&amp;IF('Visit Log'!BI160="Yes",", Set Teacher","")&amp;IF('Visit Log'!BJ160="Yes",", Sound","")&amp;IF('Visit Log'!BK160="Yes",", SPFX","")&amp;IF('Visit Log'!BL160="Yes",", Video",""),3,300)))</f>
        <v/>
      </c>
      <c r="F160" s="28">
        <f>IF('Visit Log'!C160="","",'Visit Log'!T160)</f>
        <v/>
      </c>
    </row>
    <row r="161">
      <c r="A161" s="32">
        <f>IF('Visit Log'!C161="","",'Visit Log'!A161)</f>
        <v/>
      </c>
      <c r="B161" s="32">
        <f>IF('Visit Log'!C161="","",'Visit Log'!C161)</f>
        <v/>
      </c>
      <c r="C161" s="32">
        <f>IF('Visit Log'!C161="","",'Visit Log'!D161)</f>
        <v/>
      </c>
      <c r="D161" s="33">
        <f>IF('Visit Log'!C161="","",'Visit Log'!B161)</f>
        <v/>
      </c>
      <c r="E161" s="32">
        <f>IF('Visit Log'!C161="","",IF((IF('Visit Log'!AV161="Yes",", Art","")&amp;IF('Visit Log'!AW161="Yes",", Construction","")&amp;IF('Visit Log'!AX161="Yes",", Costumes","")&amp;IF('Visit Log'!AY161="Yes",", Craft Service","")&amp;IF('Visit Log'!AZ161="Yes",", Electrical","")&amp;IF('Visit Log'!BA161="Yes",", Greens","")&amp;IF('Visit Log'!BB161="Yes",", Grip","")&amp;IF('Visit Log'!BC161="Yes",", Locations","")&amp;IF('Visit Log'!BD161="Yes",", Medic","")&amp;IF('Visit Log'!BE161="Yes",", Paint","")&amp;IF('Visit Log'!BF161="Yes",", Plaster","")&amp;IF('Visit Log'!BG161="Yes",", Props","")&amp;IF('Visit Log'!BH161="Yes",", Set Dec","")&amp;IF('Visit Log'!BI161="Yes",", Set Teacher","")&amp;IF('Visit Log'!BJ161="Yes",", Sound","")&amp;IF('Visit Log'!BK161="Yes",", SPFX","")&amp;IF('Visit Log'!BL161="Yes",", Video",""))="","",MID(IF('Visit Log'!AV161="Yes",", Art","")&amp;IF('Visit Log'!AW161="Yes",", Construction","")&amp;IF('Visit Log'!AX161="Yes",", Costumes","")&amp;IF('Visit Log'!AY161="Yes",", Craft Service","")&amp;IF('Visit Log'!AZ161="Yes",", Electrical","")&amp;IF('Visit Log'!BA161="Yes",", Greens","")&amp;IF('Visit Log'!BB161="Yes",", Grip","")&amp;IF('Visit Log'!BC161="Yes",", Locations","")&amp;IF('Visit Log'!BD161="Yes",", Medic","")&amp;IF('Visit Log'!BE161="Yes",", Paint","")&amp;IF('Visit Log'!BF161="Yes",", Plaster","")&amp;IF('Visit Log'!BG161="Yes",", Props","")&amp;IF('Visit Log'!BH161="Yes",", Set Dec","")&amp;IF('Visit Log'!BI161="Yes",", Set Teacher","")&amp;IF('Visit Log'!BJ161="Yes",", Sound","")&amp;IF('Visit Log'!BK161="Yes",", SPFX","")&amp;IF('Visit Log'!BL161="Yes",", Video",""),3,300)))</f>
        <v/>
      </c>
      <c r="F161" s="32">
        <f>IF('Visit Log'!C161="","",'Visit Log'!T161)</f>
        <v/>
      </c>
    </row>
    <row r="162">
      <c r="A162" s="28">
        <f>IF('Visit Log'!C162="","",'Visit Log'!A162)</f>
        <v/>
      </c>
      <c r="B162" s="28">
        <f>IF('Visit Log'!C162="","",'Visit Log'!C162)</f>
        <v/>
      </c>
      <c r="C162" s="28">
        <f>IF('Visit Log'!C162="","",'Visit Log'!D162)</f>
        <v/>
      </c>
      <c r="D162" s="29">
        <f>IF('Visit Log'!C162="","",'Visit Log'!B162)</f>
        <v/>
      </c>
      <c r="E162" s="28">
        <f>IF('Visit Log'!C162="","",IF((IF('Visit Log'!AV162="Yes",", Art","")&amp;IF('Visit Log'!AW162="Yes",", Construction","")&amp;IF('Visit Log'!AX162="Yes",", Costumes","")&amp;IF('Visit Log'!AY162="Yes",", Craft Service","")&amp;IF('Visit Log'!AZ162="Yes",", Electrical","")&amp;IF('Visit Log'!BA162="Yes",", Greens","")&amp;IF('Visit Log'!BB162="Yes",", Grip","")&amp;IF('Visit Log'!BC162="Yes",", Locations","")&amp;IF('Visit Log'!BD162="Yes",", Medic","")&amp;IF('Visit Log'!BE162="Yes",", Paint","")&amp;IF('Visit Log'!BF162="Yes",", Plaster","")&amp;IF('Visit Log'!BG162="Yes",", Props","")&amp;IF('Visit Log'!BH162="Yes",", Set Dec","")&amp;IF('Visit Log'!BI162="Yes",", Set Teacher","")&amp;IF('Visit Log'!BJ162="Yes",", Sound","")&amp;IF('Visit Log'!BK162="Yes",", SPFX","")&amp;IF('Visit Log'!BL162="Yes",", Video",""))="","",MID(IF('Visit Log'!AV162="Yes",", Art","")&amp;IF('Visit Log'!AW162="Yes",", Construction","")&amp;IF('Visit Log'!AX162="Yes",", Costumes","")&amp;IF('Visit Log'!AY162="Yes",", Craft Service","")&amp;IF('Visit Log'!AZ162="Yes",", Electrical","")&amp;IF('Visit Log'!BA162="Yes",", Greens","")&amp;IF('Visit Log'!BB162="Yes",", Grip","")&amp;IF('Visit Log'!BC162="Yes",", Locations","")&amp;IF('Visit Log'!BD162="Yes",", Medic","")&amp;IF('Visit Log'!BE162="Yes",", Paint","")&amp;IF('Visit Log'!BF162="Yes",", Plaster","")&amp;IF('Visit Log'!BG162="Yes",", Props","")&amp;IF('Visit Log'!BH162="Yes",", Set Dec","")&amp;IF('Visit Log'!BI162="Yes",", Set Teacher","")&amp;IF('Visit Log'!BJ162="Yes",", Sound","")&amp;IF('Visit Log'!BK162="Yes",", SPFX","")&amp;IF('Visit Log'!BL162="Yes",", Video",""),3,300)))</f>
        <v/>
      </c>
      <c r="F162" s="28">
        <f>IF('Visit Log'!C162="","",'Visit Log'!T162)</f>
        <v/>
      </c>
    </row>
    <row r="163">
      <c r="A163" s="32">
        <f>IF('Visit Log'!C163="","",'Visit Log'!A163)</f>
        <v/>
      </c>
      <c r="B163" s="32">
        <f>IF('Visit Log'!C163="","",'Visit Log'!C163)</f>
        <v/>
      </c>
      <c r="C163" s="32">
        <f>IF('Visit Log'!C163="","",'Visit Log'!D163)</f>
        <v/>
      </c>
      <c r="D163" s="33">
        <f>IF('Visit Log'!C163="","",'Visit Log'!B163)</f>
        <v/>
      </c>
      <c r="E163" s="32">
        <f>IF('Visit Log'!C163="","",IF((IF('Visit Log'!AV163="Yes",", Art","")&amp;IF('Visit Log'!AW163="Yes",", Construction","")&amp;IF('Visit Log'!AX163="Yes",", Costumes","")&amp;IF('Visit Log'!AY163="Yes",", Craft Service","")&amp;IF('Visit Log'!AZ163="Yes",", Electrical","")&amp;IF('Visit Log'!BA163="Yes",", Greens","")&amp;IF('Visit Log'!BB163="Yes",", Grip","")&amp;IF('Visit Log'!BC163="Yes",", Locations","")&amp;IF('Visit Log'!BD163="Yes",", Medic","")&amp;IF('Visit Log'!BE163="Yes",", Paint","")&amp;IF('Visit Log'!BF163="Yes",", Plaster","")&amp;IF('Visit Log'!BG163="Yes",", Props","")&amp;IF('Visit Log'!BH163="Yes",", Set Dec","")&amp;IF('Visit Log'!BI163="Yes",", Set Teacher","")&amp;IF('Visit Log'!BJ163="Yes",", Sound","")&amp;IF('Visit Log'!BK163="Yes",", SPFX","")&amp;IF('Visit Log'!BL163="Yes",", Video",""))="","",MID(IF('Visit Log'!AV163="Yes",", Art","")&amp;IF('Visit Log'!AW163="Yes",", Construction","")&amp;IF('Visit Log'!AX163="Yes",", Costumes","")&amp;IF('Visit Log'!AY163="Yes",", Craft Service","")&amp;IF('Visit Log'!AZ163="Yes",", Electrical","")&amp;IF('Visit Log'!BA163="Yes",", Greens","")&amp;IF('Visit Log'!BB163="Yes",", Grip","")&amp;IF('Visit Log'!BC163="Yes",", Locations","")&amp;IF('Visit Log'!BD163="Yes",", Medic","")&amp;IF('Visit Log'!BE163="Yes",", Paint","")&amp;IF('Visit Log'!BF163="Yes",", Plaster","")&amp;IF('Visit Log'!BG163="Yes",", Props","")&amp;IF('Visit Log'!BH163="Yes",", Set Dec","")&amp;IF('Visit Log'!BI163="Yes",", Set Teacher","")&amp;IF('Visit Log'!BJ163="Yes",", Sound","")&amp;IF('Visit Log'!BK163="Yes",", SPFX","")&amp;IF('Visit Log'!BL163="Yes",", Video",""),3,300)))</f>
        <v/>
      </c>
      <c r="F163" s="32">
        <f>IF('Visit Log'!C163="","",'Visit Log'!T163)</f>
        <v/>
      </c>
    </row>
    <row r="164">
      <c r="A164" s="28">
        <f>IF('Visit Log'!C164="","",'Visit Log'!A164)</f>
        <v/>
      </c>
      <c r="B164" s="28">
        <f>IF('Visit Log'!C164="","",'Visit Log'!C164)</f>
        <v/>
      </c>
      <c r="C164" s="28">
        <f>IF('Visit Log'!C164="","",'Visit Log'!D164)</f>
        <v/>
      </c>
      <c r="D164" s="29">
        <f>IF('Visit Log'!C164="","",'Visit Log'!B164)</f>
        <v/>
      </c>
      <c r="E164" s="28">
        <f>IF('Visit Log'!C164="","",IF((IF('Visit Log'!AV164="Yes",", Art","")&amp;IF('Visit Log'!AW164="Yes",", Construction","")&amp;IF('Visit Log'!AX164="Yes",", Costumes","")&amp;IF('Visit Log'!AY164="Yes",", Craft Service","")&amp;IF('Visit Log'!AZ164="Yes",", Electrical","")&amp;IF('Visit Log'!BA164="Yes",", Greens","")&amp;IF('Visit Log'!BB164="Yes",", Grip","")&amp;IF('Visit Log'!BC164="Yes",", Locations","")&amp;IF('Visit Log'!BD164="Yes",", Medic","")&amp;IF('Visit Log'!BE164="Yes",", Paint","")&amp;IF('Visit Log'!BF164="Yes",", Plaster","")&amp;IF('Visit Log'!BG164="Yes",", Props","")&amp;IF('Visit Log'!BH164="Yes",", Set Dec","")&amp;IF('Visit Log'!BI164="Yes",", Set Teacher","")&amp;IF('Visit Log'!BJ164="Yes",", Sound","")&amp;IF('Visit Log'!BK164="Yes",", SPFX","")&amp;IF('Visit Log'!BL164="Yes",", Video",""))="","",MID(IF('Visit Log'!AV164="Yes",", Art","")&amp;IF('Visit Log'!AW164="Yes",", Construction","")&amp;IF('Visit Log'!AX164="Yes",", Costumes","")&amp;IF('Visit Log'!AY164="Yes",", Craft Service","")&amp;IF('Visit Log'!AZ164="Yes",", Electrical","")&amp;IF('Visit Log'!BA164="Yes",", Greens","")&amp;IF('Visit Log'!BB164="Yes",", Grip","")&amp;IF('Visit Log'!BC164="Yes",", Locations","")&amp;IF('Visit Log'!BD164="Yes",", Medic","")&amp;IF('Visit Log'!BE164="Yes",", Paint","")&amp;IF('Visit Log'!BF164="Yes",", Plaster","")&amp;IF('Visit Log'!BG164="Yes",", Props","")&amp;IF('Visit Log'!BH164="Yes",", Set Dec","")&amp;IF('Visit Log'!BI164="Yes",", Set Teacher","")&amp;IF('Visit Log'!BJ164="Yes",", Sound","")&amp;IF('Visit Log'!BK164="Yes",", SPFX","")&amp;IF('Visit Log'!BL164="Yes",", Video",""),3,300)))</f>
        <v/>
      </c>
      <c r="F164" s="28">
        <f>IF('Visit Log'!C164="","",'Visit Log'!T164)</f>
        <v/>
      </c>
    </row>
    <row r="165">
      <c r="A165" s="32">
        <f>IF('Visit Log'!C165="","",'Visit Log'!A165)</f>
        <v/>
      </c>
      <c r="B165" s="32">
        <f>IF('Visit Log'!C165="","",'Visit Log'!C165)</f>
        <v/>
      </c>
      <c r="C165" s="32">
        <f>IF('Visit Log'!C165="","",'Visit Log'!D165)</f>
        <v/>
      </c>
      <c r="D165" s="33">
        <f>IF('Visit Log'!C165="","",'Visit Log'!B165)</f>
        <v/>
      </c>
      <c r="E165" s="32">
        <f>IF('Visit Log'!C165="","",IF((IF('Visit Log'!AV165="Yes",", Art","")&amp;IF('Visit Log'!AW165="Yes",", Construction","")&amp;IF('Visit Log'!AX165="Yes",", Costumes","")&amp;IF('Visit Log'!AY165="Yes",", Craft Service","")&amp;IF('Visit Log'!AZ165="Yes",", Electrical","")&amp;IF('Visit Log'!BA165="Yes",", Greens","")&amp;IF('Visit Log'!BB165="Yes",", Grip","")&amp;IF('Visit Log'!BC165="Yes",", Locations","")&amp;IF('Visit Log'!BD165="Yes",", Medic","")&amp;IF('Visit Log'!BE165="Yes",", Paint","")&amp;IF('Visit Log'!BF165="Yes",", Plaster","")&amp;IF('Visit Log'!BG165="Yes",", Props","")&amp;IF('Visit Log'!BH165="Yes",", Set Dec","")&amp;IF('Visit Log'!BI165="Yes",", Set Teacher","")&amp;IF('Visit Log'!BJ165="Yes",", Sound","")&amp;IF('Visit Log'!BK165="Yes",", SPFX","")&amp;IF('Visit Log'!BL165="Yes",", Video",""))="","",MID(IF('Visit Log'!AV165="Yes",", Art","")&amp;IF('Visit Log'!AW165="Yes",", Construction","")&amp;IF('Visit Log'!AX165="Yes",", Costumes","")&amp;IF('Visit Log'!AY165="Yes",", Craft Service","")&amp;IF('Visit Log'!AZ165="Yes",", Electrical","")&amp;IF('Visit Log'!BA165="Yes",", Greens","")&amp;IF('Visit Log'!BB165="Yes",", Grip","")&amp;IF('Visit Log'!BC165="Yes",", Locations","")&amp;IF('Visit Log'!BD165="Yes",", Medic","")&amp;IF('Visit Log'!BE165="Yes",", Paint","")&amp;IF('Visit Log'!BF165="Yes",", Plaster","")&amp;IF('Visit Log'!BG165="Yes",", Props","")&amp;IF('Visit Log'!BH165="Yes",", Set Dec","")&amp;IF('Visit Log'!BI165="Yes",", Set Teacher","")&amp;IF('Visit Log'!BJ165="Yes",", Sound","")&amp;IF('Visit Log'!BK165="Yes",", SPFX","")&amp;IF('Visit Log'!BL165="Yes",", Video",""),3,300)))</f>
        <v/>
      </c>
      <c r="F165" s="32">
        <f>IF('Visit Log'!C165="","",'Visit Log'!T165)</f>
        <v/>
      </c>
    </row>
    <row r="166">
      <c r="A166" s="28">
        <f>IF('Visit Log'!C166="","",'Visit Log'!A166)</f>
        <v/>
      </c>
      <c r="B166" s="28">
        <f>IF('Visit Log'!C166="","",'Visit Log'!C166)</f>
        <v/>
      </c>
      <c r="C166" s="28">
        <f>IF('Visit Log'!C166="","",'Visit Log'!D166)</f>
        <v/>
      </c>
      <c r="D166" s="29">
        <f>IF('Visit Log'!C166="","",'Visit Log'!B166)</f>
        <v/>
      </c>
      <c r="E166" s="28">
        <f>IF('Visit Log'!C166="","",IF((IF('Visit Log'!AV166="Yes",", Art","")&amp;IF('Visit Log'!AW166="Yes",", Construction","")&amp;IF('Visit Log'!AX166="Yes",", Costumes","")&amp;IF('Visit Log'!AY166="Yes",", Craft Service","")&amp;IF('Visit Log'!AZ166="Yes",", Electrical","")&amp;IF('Visit Log'!BA166="Yes",", Greens","")&amp;IF('Visit Log'!BB166="Yes",", Grip","")&amp;IF('Visit Log'!BC166="Yes",", Locations","")&amp;IF('Visit Log'!BD166="Yes",", Medic","")&amp;IF('Visit Log'!BE166="Yes",", Paint","")&amp;IF('Visit Log'!BF166="Yes",", Plaster","")&amp;IF('Visit Log'!BG166="Yes",", Props","")&amp;IF('Visit Log'!BH166="Yes",", Set Dec","")&amp;IF('Visit Log'!BI166="Yes",", Set Teacher","")&amp;IF('Visit Log'!BJ166="Yes",", Sound","")&amp;IF('Visit Log'!BK166="Yes",", SPFX","")&amp;IF('Visit Log'!BL166="Yes",", Video",""))="","",MID(IF('Visit Log'!AV166="Yes",", Art","")&amp;IF('Visit Log'!AW166="Yes",", Construction","")&amp;IF('Visit Log'!AX166="Yes",", Costumes","")&amp;IF('Visit Log'!AY166="Yes",", Craft Service","")&amp;IF('Visit Log'!AZ166="Yes",", Electrical","")&amp;IF('Visit Log'!BA166="Yes",", Greens","")&amp;IF('Visit Log'!BB166="Yes",", Grip","")&amp;IF('Visit Log'!BC166="Yes",", Locations","")&amp;IF('Visit Log'!BD166="Yes",", Medic","")&amp;IF('Visit Log'!BE166="Yes",", Paint","")&amp;IF('Visit Log'!BF166="Yes",", Plaster","")&amp;IF('Visit Log'!BG166="Yes",", Props","")&amp;IF('Visit Log'!BH166="Yes",", Set Dec","")&amp;IF('Visit Log'!BI166="Yes",", Set Teacher","")&amp;IF('Visit Log'!BJ166="Yes",", Sound","")&amp;IF('Visit Log'!BK166="Yes",", SPFX","")&amp;IF('Visit Log'!BL166="Yes",", Video",""),3,300)))</f>
        <v/>
      </c>
      <c r="F166" s="28">
        <f>IF('Visit Log'!C166="","",'Visit Log'!T166)</f>
        <v/>
      </c>
    </row>
    <row r="167">
      <c r="A167" s="32">
        <f>IF('Visit Log'!C167="","",'Visit Log'!A167)</f>
        <v/>
      </c>
      <c r="B167" s="32">
        <f>IF('Visit Log'!C167="","",'Visit Log'!C167)</f>
        <v/>
      </c>
      <c r="C167" s="32">
        <f>IF('Visit Log'!C167="","",'Visit Log'!D167)</f>
        <v/>
      </c>
      <c r="D167" s="33">
        <f>IF('Visit Log'!C167="","",'Visit Log'!B167)</f>
        <v/>
      </c>
      <c r="E167" s="32">
        <f>IF('Visit Log'!C167="","",IF((IF('Visit Log'!AV167="Yes",", Art","")&amp;IF('Visit Log'!AW167="Yes",", Construction","")&amp;IF('Visit Log'!AX167="Yes",", Costumes","")&amp;IF('Visit Log'!AY167="Yes",", Craft Service","")&amp;IF('Visit Log'!AZ167="Yes",", Electrical","")&amp;IF('Visit Log'!BA167="Yes",", Greens","")&amp;IF('Visit Log'!BB167="Yes",", Grip","")&amp;IF('Visit Log'!BC167="Yes",", Locations","")&amp;IF('Visit Log'!BD167="Yes",", Medic","")&amp;IF('Visit Log'!BE167="Yes",", Paint","")&amp;IF('Visit Log'!BF167="Yes",", Plaster","")&amp;IF('Visit Log'!BG167="Yes",", Props","")&amp;IF('Visit Log'!BH167="Yes",", Set Dec","")&amp;IF('Visit Log'!BI167="Yes",", Set Teacher","")&amp;IF('Visit Log'!BJ167="Yes",", Sound","")&amp;IF('Visit Log'!BK167="Yes",", SPFX","")&amp;IF('Visit Log'!BL167="Yes",", Video",""))="","",MID(IF('Visit Log'!AV167="Yes",", Art","")&amp;IF('Visit Log'!AW167="Yes",", Construction","")&amp;IF('Visit Log'!AX167="Yes",", Costumes","")&amp;IF('Visit Log'!AY167="Yes",", Craft Service","")&amp;IF('Visit Log'!AZ167="Yes",", Electrical","")&amp;IF('Visit Log'!BA167="Yes",", Greens","")&amp;IF('Visit Log'!BB167="Yes",", Grip","")&amp;IF('Visit Log'!BC167="Yes",", Locations","")&amp;IF('Visit Log'!BD167="Yes",", Medic","")&amp;IF('Visit Log'!BE167="Yes",", Paint","")&amp;IF('Visit Log'!BF167="Yes",", Plaster","")&amp;IF('Visit Log'!BG167="Yes",", Props","")&amp;IF('Visit Log'!BH167="Yes",", Set Dec","")&amp;IF('Visit Log'!BI167="Yes",", Set Teacher","")&amp;IF('Visit Log'!BJ167="Yes",", Sound","")&amp;IF('Visit Log'!BK167="Yes",", SPFX","")&amp;IF('Visit Log'!BL167="Yes",", Video",""),3,300)))</f>
        <v/>
      </c>
      <c r="F167" s="32">
        <f>IF('Visit Log'!C167="","",'Visit Log'!T167)</f>
        <v/>
      </c>
    </row>
    <row r="168">
      <c r="A168" s="28">
        <f>IF('Visit Log'!C168="","",'Visit Log'!A168)</f>
        <v/>
      </c>
      <c r="B168" s="28">
        <f>IF('Visit Log'!C168="","",'Visit Log'!C168)</f>
        <v/>
      </c>
      <c r="C168" s="28">
        <f>IF('Visit Log'!C168="","",'Visit Log'!D168)</f>
        <v/>
      </c>
      <c r="D168" s="29">
        <f>IF('Visit Log'!C168="","",'Visit Log'!B168)</f>
        <v/>
      </c>
      <c r="E168" s="28">
        <f>IF('Visit Log'!C168="","",IF((IF('Visit Log'!AV168="Yes",", Art","")&amp;IF('Visit Log'!AW168="Yes",", Construction","")&amp;IF('Visit Log'!AX168="Yes",", Costumes","")&amp;IF('Visit Log'!AY168="Yes",", Craft Service","")&amp;IF('Visit Log'!AZ168="Yes",", Electrical","")&amp;IF('Visit Log'!BA168="Yes",", Greens","")&amp;IF('Visit Log'!BB168="Yes",", Grip","")&amp;IF('Visit Log'!BC168="Yes",", Locations","")&amp;IF('Visit Log'!BD168="Yes",", Medic","")&amp;IF('Visit Log'!BE168="Yes",", Paint","")&amp;IF('Visit Log'!BF168="Yes",", Plaster","")&amp;IF('Visit Log'!BG168="Yes",", Props","")&amp;IF('Visit Log'!BH168="Yes",", Set Dec","")&amp;IF('Visit Log'!BI168="Yes",", Set Teacher","")&amp;IF('Visit Log'!BJ168="Yes",", Sound","")&amp;IF('Visit Log'!BK168="Yes",", SPFX","")&amp;IF('Visit Log'!BL168="Yes",", Video",""))="","",MID(IF('Visit Log'!AV168="Yes",", Art","")&amp;IF('Visit Log'!AW168="Yes",", Construction","")&amp;IF('Visit Log'!AX168="Yes",", Costumes","")&amp;IF('Visit Log'!AY168="Yes",", Craft Service","")&amp;IF('Visit Log'!AZ168="Yes",", Electrical","")&amp;IF('Visit Log'!BA168="Yes",", Greens","")&amp;IF('Visit Log'!BB168="Yes",", Grip","")&amp;IF('Visit Log'!BC168="Yes",", Locations","")&amp;IF('Visit Log'!BD168="Yes",", Medic","")&amp;IF('Visit Log'!BE168="Yes",", Paint","")&amp;IF('Visit Log'!BF168="Yes",", Plaster","")&amp;IF('Visit Log'!BG168="Yes",", Props","")&amp;IF('Visit Log'!BH168="Yes",", Set Dec","")&amp;IF('Visit Log'!BI168="Yes",", Set Teacher","")&amp;IF('Visit Log'!BJ168="Yes",", Sound","")&amp;IF('Visit Log'!BK168="Yes",", SPFX","")&amp;IF('Visit Log'!BL168="Yes",", Video",""),3,300)))</f>
        <v/>
      </c>
      <c r="F168" s="28">
        <f>IF('Visit Log'!C168="","",'Visit Log'!T168)</f>
        <v/>
      </c>
    </row>
    <row r="169">
      <c r="A169" s="32">
        <f>IF('Visit Log'!C169="","",'Visit Log'!A169)</f>
        <v/>
      </c>
      <c r="B169" s="32">
        <f>IF('Visit Log'!C169="","",'Visit Log'!C169)</f>
        <v/>
      </c>
      <c r="C169" s="32">
        <f>IF('Visit Log'!C169="","",'Visit Log'!D169)</f>
        <v/>
      </c>
      <c r="D169" s="33">
        <f>IF('Visit Log'!C169="","",'Visit Log'!B169)</f>
        <v/>
      </c>
      <c r="E169" s="32">
        <f>IF('Visit Log'!C169="","",IF((IF('Visit Log'!AV169="Yes",", Art","")&amp;IF('Visit Log'!AW169="Yes",", Construction","")&amp;IF('Visit Log'!AX169="Yes",", Costumes","")&amp;IF('Visit Log'!AY169="Yes",", Craft Service","")&amp;IF('Visit Log'!AZ169="Yes",", Electrical","")&amp;IF('Visit Log'!BA169="Yes",", Greens","")&amp;IF('Visit Log'!BB169="Yes",", Grip","")&amp;IF('Visit Log'!BC169="Yes",", Locations","")&amp;IF('Visit Log'!BD169="Yes",", Medic","")&amp;IF('Visit Log'!BE169="Yes",", Paint","")&amp;IF('Visit Log'!BF169="Yes",", Plaster","")&amp;IF('Visit Log'!BG169="Yes",", Props","")&amp;IF('Visit Log'!BH169="Yes",", Set Dec","")&amp;IF('Visit Log'!BI169="Yes",", Set Teacher","")&amp;IF('Visit Log'!BJ169="Yes",", Sound","")&amp;IF('Visit Log'!BK169="Yes",", SPFX","")&amp;IF('Visit Log'!BL169="Yes",", Video",""))="","",MID(IF('Visit Log'!AV169="Yes",", Art","")&amp;IF('Visit Log'!AW169="Yes",", Construction","")&amp;IF('Visit Log'!AX169="Yes",", Costumes","")&amp;IF('Visit Log'!AY169="Yes",", Craft Service","")&amp;IF('Visit Log'!AZ169="Yes",", Electrical","")&amp;IF('Visit Log'!BA169="Yes",", Greens","")&amp;IF('Visit Log'!BB169="Yes",", Grip","")&amp;IF('Visit Log'!BC169="Yes",", Locations","")&amp;IF('Visit Log'!BD169="Yes",", Medic","")&amp;IF('Visit Log'!BE169="Yes",", Paint","")&amp;IF('Visit Log'!BF169="Yes",", Plaster","")&amp;IF('Visit Log'!BG169="Yes",", Props","")&amp;IF('Visit Log'!BH169="Yes",", Set Dec","")&amp;IF('Visit Log'!BI169="Yes",", Set Teacher","")&amp;IF('Visit Log'!BJ169="Yes",", Sound","")&amp;IF('Visit Log'!BK169="Yes",", SPFX","")&amp;IF('Visit Log'!BL169="Yes",", Video",""),3,300)))</f>
        <v/>
      </c>
      <c r="F169" s="32">
        <f>IF('Visit Log'!C169="","",'Visit Log'!T169)</f>
        <v/>
      </c>
    </row>
    <row r="170">
      <c r="A170" s="28">
        <f>IF('Visit Log'!C170="","",'Visit Log'!A170)</f>
        <v/>
      </c>
      <c r="B170" s="28">
        <f>IF('Visit Log'!C170="","",'Visit Log'!C170)</f>
        <v/>
      </c>
      <c r="C170" s="28">
        <f>IF('Visit Log'!C170="","",'Visit Log'!D170)</f>
        <v/>
      </c>
      <c r="D170" s="29">
        <f>IF('Visit Log'!C170="","",'Visit Log'!B170)</f>
        <v/>
      </c>
      <c r="E170" s="28">
        <f>IF('Visit Log'!C170="","",IF((IF('Visit Log'!AV170="Yes",", Art","")&amp;IF('Visit Log'!AW170="Yes",", Construction","")&amp;IF('Visit Log'!AX170="Yes",", Costumes","")&amp;IF('Visit Log'!AY170="Yes",", Craft Service","")&amp;IF('Visit Log'!AZ170="Yes",", Electrical","")&amp;IF('Visit Log'!BA170="Yes",", Greens","")&amp;IF('Visit Log'!BB170="Yes",", Grip","")&amp;IF('Visit Log'!BC170="Yes",", Locations","")&amp;IF('Visit Log'!BD170="Yes",", Medic","")&amp;IF('Visit Log'!BE170="Yes",", Paint","")&amp;IF('Visit Log'!BF170="Yes",", Plaster","")&amp;IF('Visit Log'!BG170="Yes",", Props","")&amp;IF('Visit Log'!BH170="Yes",", Set Dec","")&amp;IF('Visit Log'!BI170="Yes",", Set Teacher","")&amp;IF('Visit Log'!BJ170="Yes",", Sound","")&amp;IF('Visit Log'!BK170="Yes",", SPFX","")&amp;IF('Visit Log'!BL170="Yes",", Video",""))="","",MID(IF('Visit Log'!AV170="Yes",", Art","")&amp;IF('Visit Log'!AW170="Yes",", Construction","")&amp;IF('Visit Log'!AX170="Yes",", Costumes","")&amp;IF('Visit Log'!AY170="Yes",", Craft Service","")&amp;IF('Visit Log'!AZ170="Yes",", Electrical","")&amp;IF('Visit Log'!BA170="Yes",", Greens","")&amp;IF('Visit Log'!BB170="Yes",", Grip","")&amp;IF('Visit Log'!BC170="Yes",", Locations","")&amp;IF('Visit Log'!BD170="Yes",", Medic","")&amp;IF('Visit Log'!BE170="Yes",", Paint","")&amp;IF('Visit Log'!BF170="Yes",", Plaster","")&amp;IF('Visit Log'!BG170="Yes",", Props","")&amp;IF('Visit Log'!BH170="Yes",", Set Dec","")&amp;IF('Visit Log'!BI170="Yes",", Set Teacher","")&amp;IF('Visit Log'!BJ170="Yes",", Sound","")&amp;IF('Visit Log'!BK170="Yes",", SPFX","")&amp;IF('Visit Log'!BL170="Yes",", Video",""),3,300)))</f>
        <v/>
      </c>
      <c r="F170" s="28">
        <f>IF('Visit Log'!C170="","",'Visit Log'!T170)</f>
        <v/>
      </c>
    </row>
    <row r="171">
      <c r="A171" s="32">
        <f>IF('Visit Log'!C171="","",'Visit Log'!A171)</f>
        <v/>
      </c>
      <c r="B171" s="32">
        <f>IF('Visit Log'!C171="","",'Visit Log'!C171)</f>
        <v/>
      </c>
      <c r="C171" s="32">
        <f>IF('Visit Log'!C171="","",'Visit Log'!D171)</f>
        <v/>
      </c>
      <c r="D171" s="33">
        <f>IF('Visit Log'!C171="","",'Visit Log'!B171)</f>
        <v/>
      </c>
      <c r="E171" s="32">
        <f>IF('Visit Log'!C171="","",IF((IF('Visit Log'!AV171="Yes",", Art","")&amp;IF('Visit Log'!AW171="Yes",", Construction","")&amp;IF('Visit Log'!AX171="Yes",", Costumes","")&amp;IF('Visit Log'!AY171="Yes",", Craft Service","")&amp;IF('Visit Log'!AZ171="Yes",", Electrical","")&amp;IF('Visit Log'!BA171="Yes",", Greens","")&amp;IF('Visit Log'!BB171="Yes",", Grip","")&amp;IF('Visit Log'!BC171="Yes",", Locations","")&amp;IF('Visit Log'!BD171="Yes",", Medic","")&amp;IF('Visit Log'!BE171="Yes",", Paint","")&amp;IF('Visit Log'!BF171="Yes",", Plaster","")&amp;IF('Visit Log'!BG171="Yes",", Props","")&amp;IF('Visit Log'!BH171="Yes",", Set Dec","")&amp;IF('Visit Log'!BI171="Yes",", Set Teacher","")&amp;IF('Visit Log'!BJ171="Yes",", Sound","")&amp;IF('Visit Log'!BK171="Yes",", SPFX","")&amp;IF('Visit Log'!BL171="Yes",", Video",""))="","",MID(IF('Visit Log'!AV171="Yes",", Art","")&amp;IF('Visit Log'!AW171="Yes",", Construction","")&amp;IF('Visit Log'!AX171="Yes",", Costumes","")&amp;IF('Visit Log'!AY171="Yes",", Craft Service","")&amp;IF('Visit Log'!AZ171="Yes",", Electrical","")&amp;IF('Visit Log'!BA171="Yes",", Greens","")&amp;IF('Visit Log'!BB171="Yes",", Grip","")&amp;IF('Visit Log'!BC171="Yes",", Locations","")&amp;IF('Visit Log'!BD171="Yes",", Medic","")&amp;IF('Visit Log'!BE171="Yes",", Paint","")&amp;IF('Visit Log'!BF171="Yes",", Plaster","")&amp;IF('Visit Log'!BG171="Yes",", Props","")&amp;IF('Visit Log'!BH171="Yes",", Set Dec","")&amp;IF('Visit Log'!BI171="Yes",", Set Teacher","")&amp;IF('Visit Log'!BJ171="Yes",", Sound","")&amp;IF('Visit Log'!BK171="Yes",", SPFX","")&amp;IF('Visit Log'!BL171="Yes",", Video",""),3,300)))</f>
        <v/>
      </c>
      <c r="F171" s="32">
        <f>IF('Visit Log'!C171="","",'Visit Log'!T171)</f>
        <v/>
      </c>
    </row>
    <row r="172">
      <c r="A172" s="28">
        <f>IF('Visit Log'!C172="","",'Visit Log'!A172)</f>
        <v/>
      </c>
      <c r="B172" s="28">
        <f>IF('Visit Log'!C172="","",'Visit Log'!C172)</f>
        <v/>
      </c>
      <c r="C172" s="28">
        <f>IF('Visit Log'!C172="","",'Visit Log'!D172)</f>
        <v/>
      </c>
      <c r="D172" s="29">
        <f>IF('Visit Log'!C172="","",'Visit Log'!B172)</f>
        <v/>
      </c>
      <c r="E172" s="28">
        <f>IF('Visit Log'!C172="","",IF((IF('Visit Log'!AV172="Yes",", Art","")&amp;IF('Visit Log'!AW172="Yes",", Construction","")&amp;IF('Visit Log'!AX172="Yes",", Costumes","")&amp;IF('Visit Log'!AY172="Yes",", Craft Service","")&amp;IF('Visit Log'!AZ172="Yes",", Electrical","")&amp;IF('Visit Log'!BA172="Yes",", Greens","")&amp;IF('Visit Log'!BB172="Yes",", Grip","")&amp;IF('Visit Log'!BC172="Yes",", Locations","")&amp;IF('Visit Log'!BD172="Yes",", Medic","")&amp;IF('Visit Log'!BE172="Yes",", Paint","")&amp;IF('Visit Log'!BF172="Yes",", Plaster","")&amp;IF('Visit Log'!BG172="Yes",", Props","")&amp;IF('Visit Log'!BH172="Yes",", Set Dec","")&amp;IF('Visit Log'!BI172="Yes",", Set Teacher","")&amp;IF('Visit Log'!BJ172="Yes",", Sound","")&amp;IF('Visit Log'!BK172="Yes",", SPFX","")&amp;IF('Visit Log'!BL172="Yes",", Video",""))="","",MID(IF('Visit Log'!AV172="Yes",", Art","")&amp;IF('Visit Log'!AW172="Yes",", Construction","")&amp;IF('Visit Log'!AX172="Yes",", Costumes","")&amp;IF('Visit Log'!AY172="Yes",", Craft Service","")&amp;IF('Visit Log'!AZ172="Yes",", Electrical","")&amp;IF('Visit Log'!BA172="Yes",", Greens","")&amp;IF('Visit Log'!BB172="Yes",", Grip","")&amp;IF('Visit Log'!BC172="Yes",", Locations","")&amp;IF('Visit Log'!BD172="Yes",", Medic","")&amp;IF('Visit Log'!BE172="Yes",", Paint","")&amp;IF('Visit Log'!BF172="Yes",", Plaster","")&amp;IF('Visit Log'!BG172="Yes",", Props","")&amp;IF('Visit Log'!BH172="Yes",", Set Dec","")&amp;IF('Visit Log'!BI172="Yes",", Set Teacher","")&amp;IF('Visit Log'!BJ172="Yes",", Sound","")&amp;IF('Visit Log'!BK172="Yes",", SPFX","")&amp;IF('Visit Log'!BL172="Yes",", Video",""),3,300)))</f>
        <v/>
      </c>
      <c r="F172" s="28">
        <f>IF('Visit Log'!C172="","",'Visit Log'!T172)</f>
        <v/>
      </c>
    </row>
    <row r="173">
      <c r="A173" s="32">
        <f>IF('Visit Log'!C173="","",'Visit Log'!A173)</f>
        <v/>
      </c>
      <c r="B173" s="32">
        <f>IF('Visit Log'!C173="","",'Visit Log'!C173)</f>
        <v/>
      </c>
      <c r="C173" s="32">
        <f>IF('Visit Log'!C173="","",'Visit Log'!D173)</f>
        <v/>
      </c>
      <c r="D173" s="33">
        <f>IF('Visit Log'!C173="","",'Visit Log'!B173)</f>
        <v/>
      </c>
      <c r="E173" s="32">
        <f>IF('Visit Log'!C173="","",IF((IF('Visit Log'!AV173="Yes",", Art","")&amp;IF('Visit Log'!AW173="Yes",", Construction","")&amp;IF('Visit Log'!AX173="Yes",", Costumes","")&amp;IF('Visit Log'!AY173="Yes",", Craft Service","")&amp;IF('Visit Log'!AZ173="Yes",", Electrical","")&amp;IF('Visit Log'!BA173="Yes",", Greens","")&amp;IF('Visit Log'!BB173="Yes",", Grip","")&amp;IF('Visit Log'!BC173="Yes",", Locations","")&amp;IF('Visit Log'!BD173="Yes",", Medic","")&amp;IF('Visit Log'!BE173="Yes",", Paint","")&amp;IF('Visit Log'!BF173="Yes",", Plaster","")&amp;IF('Visit Log'!BG173="Yes",", Props","")&amp;IF('Visit Log'!BH173="Yes",", Set Dec","")&amp;IF('Visit Log'!BI173="Yes",", Set Teacher","")&amp;IF('Visit Log'!BJ173="Yes",", Sound","")&amp;IF('Visit Log'!BK173="Yes",", SPFX","")&amp;IF('Visit Log'!BL173="Yes",", Video",""))="","",MID(IF('Visit Log'!AV173="Yes",", Art","")&amp;IF('Visit Log'!AW173="Yes",", Construction","")&amp;IF('Visit Log'!AX173="Yes",", Costumes","")&amp;IF('Visit Log'!AY173="Yes",", Craft Service","")&amp;IF('Visit Log'!AZ173="Yes",", Electrical","")&amp;IF('Visit Log'!BA173="Yes",", Greens","")&amp;IF('Visit Log'!BB173="Yes",", Grip","")&amp;IF('Visit Log'!BC173="Yes",", Locations","")&amp;IF('Visit Log'!BD173="Yes",", Medic","")&amp;IF('Visit Log'!BE173="Yes",", Paint","")&amp;IF('Visit Log'!BF173="Yes",", Plaster","")&amp;IF('Visit Log'!BG173="Yes",", Props","")&amp;IF('Visit Log'!BH173="Yes",", Set Dec","")&amp;IF('Visit Log'!BI173="Yes",", Set Teacher","")&amp;IF('Visit Log'!BJ173="Yes",", Sound","")&amp;IF('Visit Log'!BK173="Yes",", SPFX","")&amp;IF('Visit Log'!BL173="Yes",", Video",""),3,300)))</f>
        <v/>
      </c>
      <c r="F173" s="32">
        <f>IF('Visit Log'!C173="","",'Visit Log'!T173)</f>
        <v/>
      </c>
    </row>
    <row r="174">
      <c r="A174" s="28">
        <f>IF('Visit Log'!C174="","",'Visit Log'!A174)</f>
        <v/>
      </c>
      <c r="B174" s="28">
        <f>IF('Visit Log'!C174="","",'Visit Log'!C174)</f>
        <v/>
      </c>
      <c r="C174" s="28">
        <f>IF('Visit Log'!C174="","",'Visit Log'!D174)</f>
        <v/>
      </c>
      <c r="D174" s="29">
        <f>IF('Visit Log'!C174="","",'Visit Log'!B174)</f>
        <v/>
      </c>
      <c r="E174" s="28">
        <f>IF('Visit Log'!C174="","",IF((IF('Visit Log'!AV174="Yes",", Art","")&amp;IF('Visit Log'!AW174="Yes",", Construction","")&amp;IF('Visit Log'!AX174="Yes",", Costumes","")&amp;IF('Visit Log'!AY174="Yes",", Craft Service","")&amp;IF('Visit Log'!AZ174="Yes",", Electrical","")&amp;IF('Visit Log'!BA174="Yes",", Greens","")&amp;IF('Visit Log'!BB174="Yes",", Grip","")&amp;IF('Visit Log'!BC174="Yes",", Locations","")&amp;IF('Visit Log'!BD174="Yes",", Medic","")&amp;IF('Visit Log'!BE174="Yes",", Paint","")&amp;IF('Visit Log'!BF174="Yes",", Plaster","")&amp;IF('Visit Log'!BG174="Yes",", Props","")&amp;IF('Visit Log'!BH174="Yes",", Set Dec","")&amp;IF('Visit Log'!BI174="Yes",", Set Teacher","")&amp;IF('Visit Log'!BJ174="Yes",", Sound","")&amp;IF('Visit Log'!BK174="Yes",", SPFX","")&amp;IF('Visit Log'!BL174="Yes",", Video",""))="","",MID(IF('Visit Log'!AV174="Yes",", Art","")&amp;IF('Visit Log'!AW174="Yes",", Construction","")&amp;IF('Visit Log'!AX174="Yes",", Costumes","")&amp;IF('Visit Log'!AY174="Yes",", Craft Service","")&amp;IF('Visit Log'!AZ174="Yes",", Electrical","")&amp;IF('Visit Log'!BA174="Yes",", Greens","")&amp;IF('Visit Log'!BB174="Yes",", Grip","")&amp;IF('Visit Log'!BC174="Yes",", Locations","")&amp;IF('Visit Log'!BD174="Yes",", Medic","")&amp;IF('Visit Log'!BE174="Yes",", Paint","")&amp;IF('Visit Log'!BF174="Yes",", Plaster","")&amp;IF('Visit Log'!BG174="Yes",", Props","")&amp;IF('Visit Log'!BH174="Yes",", Set Dec","")&amp;IF('Visit Log'!BI174="Yes",", Set Teacher","")&amp;IF('Visit Log'!BJ174="Yes",", Sound","")&amp;IF('Visit Log'!BK174="Yes",", SPFX","")&amp;IF('Visit Log'!BL174="Yes",", Video",""),3,300)))</f>
        <v/>
      </c>
      <c r="F174" s="28">
        <f>IF('Visit Log'!C174="","",'Visit Log'!T174)</f>
        <v/>
      </c>
    </row>
    <row r="175">
      <c r="A175" s="32">
        <f>IF('Visit Log'!C175="","",'Visit Log'!A175)</f>
        <v/>
      </c>
      <c r="B175" s="32">
        <f>IF('Visit Log'!C175="","",'Visit Log'!C175)</f>
        <v/>
      </c>
      <c r="C175" s="32">
        <f>IF('Visit Log'!C175="","",'Visit Log'!D175)</f>
        <v/>
      </c>
      <c r="D175" s="33">
        <f>IF('Visit Log'!C175="","",'Visit Log'!B175)</f>
        <v/>
      </c>
      <c r="E175" s="32">
        <f>IF('Visit Log'!C175="","",IF((IF('Visit Log'!AV175="Yes",", Art","")&amp;IF('Visit Log'!AW175="Yes",", Construction","")&amp;IF('Visit Log'!AX175="Yes",", Costumes","")&amp;IF('Visit Log'!AY175="Yes",", Craft Service","")&amp;IF('Visit Log'!AZ175="Yes",", Electrical","")&amp;IF('Visit Log'!BA175="Yes",", Greens","")&amp;IF('Visit Log'!BB175="Yes",", Grip","")&amp;IF('Visit Log'!BC175="Yes",", Locations","")&amp;IF('Visit Log'!BD175="Yes",", Medic","")&amp;IF('Visit Log'!BE175="Yes",", Paint","")&amp;IF('Visit Log'!BF175="Yes",", Plaster","")&amp;IF('Visit Log'!BG175="Yes",", Props","")&amp;IF('Visit Log'!BH175="Yes",", Set Dec","")&amp;IF('Visit Log'!BI175="Yes",", Set Teacher","")&amp;IF('Visit Log'!BJ175="Yes",", Sound","")&amp;IF('Visit Log'!BK175="Yes",", SPFX","")&amp;IF('Visit Log'!BL175="Yes",", Video",""))="","",MID(IF('Visit Log'!AV175="Yes",", Art","")&amp;IF('Visit Log'!AW175="Yes",", Construction","")&amp;IF('Visit Log'!AX175="Yes",", Costumes","")&amp;IF('Visit Log'!AY175="Yes",", Craft Service","")&amp;IF('Visit Log'!AZ175="Yes",", Electrical","")&amp;IF('Visit Log'!BA175="Yes",", Greens","")&amp;IF('Visit Log'!BB175="Yes",", Grip","")&amp;IF('Visit Log'!BC175="Yes",", Locations","")&amp;IF('Visit Log'!BD175="Yes",", Medic","")&amp;IF('Visit Log'!BE175="Yes",", Paint","")&amp;IF('Visit Log'!BF175="Yes",", Plaster","")&amp;IF('Visit Log'!BG175="Yes",", Props","")&amp;IF('Visit Log'!BH175="Yes",", Set Dec","")&amp;IF('Visit Log'!BI175="Yes",", Set Teacher","")&amp;IF('Visit Log'!BJ175="Yes",", Sound","")&amp;IF('Visit Log'!BK175="Yes",", SPFX","")&amp;IF('Visit Log'!BL175="Yes",", Video",""),3,300)))</f>
        <v/>
      </c>
      <c r="F175" s="32">
        <f>IF('Visit Log'!C175="","",'Visit Log'!T175)</f>
        <v/>
      </c>
    </row>
    <row r="176">
      <c r="A176" s="28">
        <f>IF('Visit Log'!C176="","",'Visit Log'!A176)</f>
        <v/>
      </c>
      <c r="B176" s="28">
        <f>IF('Visit Log'!C176="","",'Visit Log'!C176)</f>
        <v/>
      </c>
      <c r="C176" s="28">
        <f>IF('Visit Log'!C176="","",'Visit Log'!D176)</f>
        <v/>
      </c>
      <c r="D176" s="29">
        <f>IF('Visit Log'!C176="","",'Visit Log'!B176)</f>
        <v/>
      </c>
      <c r="E176" s="28">
        <f>IF('Visit Log'!C176="","",IF((IF('Visit Log'!AV176="Yes",", Art","")&amp;IF('Visit Log'!AW176="Yes",", Construction","")&amp;IF('Visit Log'!AX176="Yes",", Costumes","")&amp;IF('Visit Log'!AY176="Yes",", Craft Service","")&amp;IF('Visit Log'!AZ176="Yes",", Electrical","")&amp;IF('Visit Log'!BA176="Yes",", Greens","")&amp;IF('Visit Log'!BB176="Yes",", Grip","")&amp;IF('Visit Log'!BC176="Yes",", Locations","")&amp;IF('Visit Log'!BD176="Yes",", Medic","")&amp;IF('Visit Log'!BE176="Yes",", Paint","")&amp;IF('Visit Log'!BF176="Yes",", Plaster","")&amp;IF('Visit Log'!BG176="Yes",", Props","")&amp;IF('Visit Log'!BH176="Yes",", Set Dec","")&amp;IF('Visit Log'!BI176="Yes",", Set Teacher","")&amp;IF('Visit Log'!BJ176="Yes",", Sound","")&amp;IF('Visit Log'!BK176="Yes",", SPFX","")&amp;IF('Visit Log'!BL176="Yes",", Video",""))="","",MID(IF('Visit Log'!AV176="Yes",", Art","")&amp;IF('Visit Log'!AW176="Yes",", Construction","")&amp;IF('Visit Log'!AX176="Yes",", Costumes","")&amp;IF('Visit Log'!AY176="Yes",", Craft Service","")&amp;IF('Visit Log'!AZ176="Yes",", Electrical","")&amp;IF('Visit Log'!BA176="Yes",", Greens","")&amp;IF('Visit Log'!BB176="Yes",", Grip","")&amp;IF('Visit Log'!BC176="Yes",", Locations","")&amp;IF('Visit Log'!BD176="Yes",", Medic","")&amp;IF('Visit Log'!BE176="Yes",", Paint","")&amp;IF('Visit Log'!BF176="Yes",", Plaster","")&amp;IF('Visit Log'!BG176="Yes",", Props","")&amp;IF('Visit Log'!BH176="Yes",", Set Dec","")&amp;IF('Visit Log'!BI176="Yes",", Set Teacher","")&amp;IF('Visit Log'!BJ176="Yes",", Sound","")&amp;IF('Visit Log'!BK176="Yes",", SPFX","")&amp;IF('Visit Log'!BL176="Yes",", Video",""),3,300)))</f>
        <v/>
      </c>
      <c r="F176" s="28">
        <f>IF('Visit Log'!C176="","",'Visit Log'!T176)</f>
        <v/>
      </c>
    </row>
    <row r="177">
      <c r="A177" s="32">
        <f>IF('Visit Log'!C177="","",'Visit Log'!A177)</f>
        <v/>
      </c>
      <c r="B177" s="32">
        <f>IF('Visit Log'!C177="","",'Visit Log'!C177)</f>
        <v/>
      </c>
      <c r="C177" s="32">
        <f>IF('Visit Log'!C177="","",'Visit Log'!D177)</f>
        <v/>
      </c>
      <c r="D177" s="33">
        <f>IF('Visit Log'!C177="","",'Visit Log'!B177)</f>
        <v/>
      </c>
      <c r="E177" s="32">
        <f>IF('Visit Log'!C177="","",IF((IF('Visit Log'!AV177="Yes",", Art","")&amp;IF('Visit Log'!AW177="Yes",", Construction","")&amp;IF('Visit Log'!AX177="Yes",", Costumes","")&amp;IF('Visit Log'!AY177="Yes",", Craft Service","")&amp;IF('Visit Log'!AZ177="Yes",", Electrical","")&amp;IF('Visit Log'!BA177="Yes",", Greens","")&amp;IF('Visit Log'!BB177="Yes",", Grip","")&amp;IF('Visit Log'!BC177="Yes",", Locations","")&amp;IF('Visit Log'!BD177="Yes",", Medic","")&amp;IF('Visit Log'!BE177="Yes",", Paint","")&amp;IF('Visit Log'!BF177="Yes",", Plaster","")&amp;IF('Visit Log'!BG177="Yes",", Props","")&amp;IF('Visit Log'!BH177="Yes",", Set Dec","")&amp;IF('Visit Log'!BI177="Yes",", Set Teacher","")&amp;IF('Visit Log'!BJ177="Yes",", Sound","")&amp;IF('Visit Log'!BK177="Yes",", SPFX","")&amp;IF('Visit Log'!BL177="Yes",", Video",""))="","",MID(IF('Visit Log'!AV177="Yes",", Art","")&amp;IF('Visit Log'!AW177="Yes",", Construction","")&amp;IF('Visit Log'!AX177="Yes",", Costumes","")&amp;IF('Visit Log'!AY177="Yes",", Craft Service","")&amp;IF('Visit Log'!AZ177="Yes",", Electrical","")&amp;IF('Visit Log'!BA177="Yes",", Greens","")&amp;IF('Visit Log'!BB177="Yes",", Grip","")&amp;IF('Visit Log'!BC177="Yes",", Locations","")&amp;IF('Visit Log'!BD177="Yes",", Medic","")&amp;IF('Visit Log'!BE177="Yes",", Paint","")&amp;IF('Visit Log'!BF177="Yes",", Plaster","")&amp;IF('Visit Log'!BG177="Yes",", Props","")&amp;IF('Visit Log'!BH177="Yes",", Set Dec","")&amp;IF('Visit Log'!BI177="Yes",", Set Teacher","")&amp;IF('Visit Log'!BJ177="Yes",", Sound","")&amp;IF('Visit Log'!BK177="Yes",", SPFX","")&amp;IF('Visit Log'!BL177="Yes",", Video",""),3,300)))</f>
        <v/>
      </c>
      <c r="F177" s="32">
        <f>IF('Visit Log'!C177="","",'Visit Log'!T177)</f>
        <v/>
      </c>
    </row>
    <row r="178">
      <c r="A178" s="28">
        <f>IF('Visit Log'!C178="","",'Visit Log'!A178)</f>
        <v/>
      </c>
      <c r="B178" s="28">
        <f>IF('Visit Log'!C178="","",'Visit Log'!C178)</f>
        <v/>
      </c>
      <c r="C178" s="28">
        <f>IF('Visit Log'!C178="","",'Visit Log'!D178)</f>
        <v/>
      </c>
      <c r="D178" s="29">
        <f>IF('Visit Log'!C178="","",'Visit Log'!B178)</f>
        <v/>
      </c>
      <c r="E178" s="28">
        <f>IF('Visit Log'!C178="","",IF((IF('Visit Log'!AV178="Yes",", Art","")&amp;IF('Visit Log'!AW178="Yes",", Construction","")&amp;IF('Visit Log'!AX178="Yes",", Costumes","")&amp;IF('Visit Log'!AY178="Yes",", Craft Service","")&amp;IF('Visit Log'!AZ178="Yes",", Electrical","")&amp;IF('Visit Log'!BA178="Yes",", Greens","")&amp;IF('Visit Log'!BB178="Yes",", Grip","")&amp;IF('Visit Log'!BC178="Yes",", Locations","")&amp;IF('Visit Log'!BD178="Yes",", Medic","")&amp;IF('Visit Log'!BE178="Yes",", Paint","")&amp;IF('Visit Log'!BF178="Yes",", Plaster","")&amp;IF('Visit Log'!BG178="Yes",", Props","")&amp;IF('Visit Log'!BH178="Yes",", Set Dec","")&amp;IF('Visit Log'!BI178="Yes",", Set Teacher","")&amp;IF('Visit Log'!BJ178="Yes",", Sound","")&amp;IF('Visit Log'!BK178="Yes",", SPFX","")&amp;IF('Visit Log'!BL178="Yes",", Video",""))="","",MID(IF('Visit Log'!AV178="Yes",", Art","")&amp;IF('Visit Log'!AW178="Yes",", Construction","")&amp;IF('Visit Log'!AX178="Yes",", Costumes","")&amp;IF('Visit Log'!AY178="Yes",", Craft Service","")&amp;IF('Visit Log'!AZ178="Yes",", Electrical","")&amp;IF('Visit Log'!BA178="Yes",", Greens","")&amp;IF('Visit Log'!BB178="Yes",", Grip","")&amp;IF('Visit Log'!BC178="Yes",", Locations","")&amp;IF('Visit Log'!BD178="Yes",", Medic","")&amp;IF('Visit Log'!BE178="Yes",", Paint","")&amp;IF('Visit Log'!BF178="Yes",", Plaster","")&amp;IF('Visit Log'!BG178="Yes",", Props","")&amp;IF('Visit Log'!BH178="Yes",", Set Dec","")&amp;IF('Visit Log'!BI178="Yes",", Set Teacher","")&amp;IF('Visit Log'!BJ178="Yes",", Sound","")&amp;IF('Visit Log'!BK178="Yes",", SPFX","")&amp;IF('Visit Log'!BL178="Yes",", Video",""),3,300)))</f>
        <v/>
      </c>
      <c r="F178" s="28">
        <f>IF('Visit Log'!C178="","",'Visit Log'!T178)</f>
        <v/>
      </c>
    </row>
    <row r="179">
      <c r="A179" s="32">
        <f>IF('Visit Log'!C179="","",'Visit Log'!A179)</f>
        <v/>
      </c>
      <c r="B179" s="32">
        <f>IF('Visit Log'!C179="","",'Visit Log'!C179)</f>
        <v/>
      </c>
      <c r="C179" s="32">
        <f>IF('Visit Log'!C179="","",'Visit Log'!D179)</f>
        <v/>
      </c>
      <c r="D179" s="33">
        <f>IF('Visit Log'!C179="","",'Visit Log'!B179)</f>
        <v/>
      </c>
      <c r="E179" s="32">
        <f>IF('Visit Log'!C179="","",IF((IF('Visit Log'!AV179="Yes",", Art","")&amp;IF('Visit Log'!AW179="Yes",", Construction","")&amp;IF('Visit Log'!AX179="Yes",", Costumes","")&amp;IF('Visit Log'!AY179="Yes",", Craft Service","")&amp;IF('Visit Log'!AZ179="Yes",", Electrical","")&amp;IF('Visit Log'!BA179="Yes",", Greens","")&amp;IF('Visit Log'!BB179="Yes",", Grip","")&amp;IF('Visit Log'!BC179="Yes",", Locations","")&amp;IF('Visit Log'!BD179="Yes",", Medic","")&amp;IF('Visit Log'!BE179="Yes",", Paint","")&amp;IF('Visit Log'!BF179="Yes",", Plaster","")&amp;IF('Visit Log'!BG179="Yes",", Props","")&amp;IF('Visit Log'!BH179="Yes",", Set Dec","")&amp;IF('Visit Log'!BI179="Yes",", Set Teacher","")&amp;IF('Visit Log'!BJ179="Yes",", Sound","")&amp;IF('Visit Log'!BK179="Yes",", SPFX","")&amp;IF('Visit Log'!BL179="Yes",", Video",""))="","",MID(IF('Visit Log'!AV179="Yes",", Art","")&amp;IF('Visit Log'!AW179="Yes",", Construction","")&amp;IF('Visit Log'!AX179="Yes",", Costumes","")&amp;IF('Visit Log'!AY179="Yes",", Craft Service","")&amp;IF('Visit Log'!AZ179="Yes",", Electrical","")&amp;IF('Visit Log'!BA179="Yes",", Greens","")&amp;IF('Visit Log'!BB179="Yes",", Grip","")&amp;IF('Visit Log'!BC179="Yes",", Locations","")&amp;IF('Visit Log'!BD179="Yes",", Medic","")&amp;IF('Visit Log'!BE179="Yes",", Paint","")&amp;IF('Visit Log'!BF179="Yes",", Plaster","")&amp;IF('Visit Log'!BG179="Yes",", Props","")&amp;IF('Visit Log'!BH179="Yes",", Set Dec","")&amp;IF('Visit Log'!BI179="Yes",", Set Teacher","")&amp;IF('Visit Log'!BJ179="Yes",", Sound","")&amp;IF('Visit Log'!BK179="Yes",", SPFX","")&amp;IF('Visit Log'!BL179="Yes",", Video",""),3,300)))</f>
        <v/>
      </c>
      <c r="F179" s="32">
        <f>IF('Visit Log'!C179="","",'Visit Log'!T179)</f>
        <v/>
      </c>
    </row>
    <row r="180">
      <c r="A180" s="28">
        <f>IF('Visit Log'!C180="","",'Visit Log'!A180)</f>
        <v/>
      </c>
      <c r="B180" s="28">
        <f>IF('Visit Log'!C180="","",'Visit Log'!C180)</f>
        <v/>
      </c>
      <c r="C180" s="28">
        <f>IF('Visit Log'!C180="","",'Visit Log'!D180)</f>
        <v/>
      </c>
      <c r="D180" s="29">
        <f>IF('Visit Log'!C180="","",'Visit Log'!B180)</f>
        <v/>
      </c>
      <c r="E180" s="28">
        <f>IF('Visit Log'!C180="","",IF((IF('Visit Log'!AV180="Yes",", Art","")&amp;IF('Visit Log'!AW180="Yes",", Construction","")&amp;IF('Visit Log'!AX180="Yes",", Costumes","")&amp;IF('Visit Log'!AY180="Yes",", Craft Service","")&amp;IF('Visit Log'!AZ180="Yes",", Electrical","")&amp;IF('Visit Log'!BA180="Yes",", Greens","")&amp;IF('Visit Log'!BB180="Yes",", Grip","")&amp;IF('Visit Log'!BC180="Yes",", Locations","")&amp;IF('Visit Log'!BD180="Yes",", Medic","")&amp;IF('Visit Log'!BE180="Yes",", Paint","")&amp;IF('Visit Log'!BF180="Yes",", Plaster","")&amp;IF('Visit Log'!BG180="Yes",", Props","")&amp;IF('Visit Log'!BH180="Yes",", Set Dec","")&amp;IF('Visit Log'!BI180="Yes",", Set Teacher","")&amp;IF('Visit Log'!BJ180="Yes",", Sound","")&amp;IF('Visit Log'!BK180="Yes",", SPFX","")&amp;IF('Visit Log'!BL180="Yes",", Video",""))="","",MID(IF('Visit Log'!AV180="Yes",", Art","")&amp;IF('Visit Log'!AW180="Yes",", Construction","")&amp;IF('Visit Log'!AX180="Yes",", Costumes","")&amp;IF('Visit Log'!AY180="Yes",", Craft Service","")&amp;IF('Visit Log'!AZ180="Yes",", Electrical","")&amp;IF('Visit Log'!BA180="Yes",", Greens","")&amp;IF('Visit Log'!BB180="Yes",", Grip","")&amp;IF('Visit Log'!BC180="Yes",", Locations","")&amp;IF('Visit Log'!BD180="Yes",", Medic","")&amp;IF('Visit Log'!BE180="Yes",", Paint","")&amp;IF('Visit Log'!BF180="Yes",", Plaster","")&amp;IF('Visit Log'!BG180="Yes",", Props","")&amp;IF('Visit Log'!BH180="Yes",", Set Dec","")&amp;IF('Visit Log'!BI180="Yes",", Set Teacher","")&amp;IF('Visit Log'!BJ180="Yes",", Sound","")&amp;IF('Visit Log'!BK180="Yes",", SPFX","")&amp;IF('Visit Log'!BL180="Yes",", Video",""),3,300)))</f>
        <v/>
      </c>
      <c r="F180" s="28">
        <f>IF('Visit Log'!C180="","",'Visit Log'!T180)</f>
        <v/>
      </c>
    </row>
    <row r="181">
      <c r="A181" s="32">
        <f>IF('Visit Log'!C181="","",'Visit Log'!A181)</f>
        <v/>
      </c>
      <c r="B181" s="32">
        <f>IF('Visit Log'!C181="","",'Visit Log'!C181)</f>
        <v/>
      </c>
      <c r="C181" s="32">
        <f>IF('Visit Log'!C181="","",'Visit Log'!D181)</f>
        <v/>
      </c>
      <c r="D181" s="33">
        <f>IF('Visit Log'!C181="","",'Visit Log'!B181)</f>
        <v/>
      </c>
      <c r="E181" s="32">
        <f>IF('Visit Log'!C181="","",IF((IF('Visit Log'!AV181="Yes",", Art","")&amp;IF('Visit Log'!AW181="Yes",", Construction","")&amp;IF('Visit Log'!AX181="Yes",", Costumes","")&amp;IF('Visit Log'!AY181="Yes",", Craft Service","")&amp;IF('Visit Log'!AZ181="Yes",", Electrical","")&amp;IF('Visit Log'!BA181="Yes",", Greens","")&amp;IF('Visit Log'!BB181="Yes",", Grip","")&amp;IF('Visit Log'!BC181="Yes",", Locations","")&amp;IF('Visit Log'!BD181="Yes",", Medic","")&amp;IF('Visit Log'!BE181="Yes",", Paint","")&amp;IF('Visit Log'!BF181="Yes",", Plaster","")&amp;IF('Visit Log'!BG181="Yes",", Props","")&amp;IF('Visit Log'!BH181="Yes",", Set Dec","")&amp;IF('Visit Log'!BI181="Yes",", Set Teacher","")&amp;IF('Visit Log'!BJ181="Yes",", Sound","")&amp;IF('Visit Log'!BK181="Yes",", SPFX","")&amp;IF('Visit Log'!BL181="Yes",", Video",""))="","",MID(IF('Visit Log'!AV181="Yes",", Art","")&amp;IF('Visit Log'!AW181="Yes",", Construction","")&amp;IF('Visit Log'!AX181="Yes",", Costumes","")&amp;IF('Visit Log'!AY181="Yes",", Craft Service","")&amp;IF('Visit Log'!AZ181="Yes",", Electrical","")&amp;IF('Visit Log'!BA181="Yes",", Greens","")&amp;IF('Visit Log'!BB181="Yes",", Grip","")&amp;IF('Visit Log'!BC181="Yes",", Locations","")&amp;IF('Visit Log'!BD181="Yes",", Medic","")&amp;IF('Visit Log'!BE181="Yes",", Paint","")&amp;IF('Visit Log'!BF181="Yes",", Plaster","")&amp;IF('Visit Log'!BG181="Yes",", Props","")&amp;IF('Visit Log'!BH181="Yes",", Set Dec","")&amp;IF('Visit Log'!BI181="Yes",", Set Teacher","")&amp;IF('Visit Log'!BJ181="Yes",", Sound","")&amp;IF('Visit Log'!BK181="Yes",", SPFX","")&amp;IF('Visit Log'!BL181="Yes",", Video",""),3,300)))</f>
        <v/>
      </c>
      <c r="F181" s="32">
        <f>IF('Visit Log'!C181="","",'Visit Log'!T181)</f>
        <v/>
      </c>
    </row>
    <row r="182">
      <c r="A182" s="28">
        <f>IF('Visit Log'!C182="","",'Visit Log'!A182)</f>
        <v/>
      </c>
      <c r="B182" s="28">
        <f>IF('Visit Log'!C182="","",'Visit Log'!C182)</f>
        <v/>
      </c>
      <c r="C182" s="28">
        <f>IF('Visit Log'!C182="","",'Visit Log'!D182)</f>
        <v/>
      </c>
      <c r="D182" s="29">
        <f>IF('Visit Log'!C182="","",'Visit Log'!B182)</f>
        <v/>
      </c>
      <c r="E182" s="28">
        <f>IF('Visit Log'!C182="","",IF((IF('Visit Log'!AV182="Yes",", Art","")&amp;IF('Visit Log'!AW182="Yes",", Construction","")&amp;IF('Visit Log'!AX182="Yes",", Costumes","")&amp;IF('Visit Log'!AY182="Yes",", Craft Service","")&amp;IF('Visit Log'!AZ182="Yes",", Electrical","")&amp;IF('Visit Log'!BA182="Yes",", Greens","")&amp;IF('Visit Log'!BB182="Yes",", Grip","")&amp;IF('Visit Log'!BC182="Yes",", Locations","")&amp;IF('Visit Log'!BD182="Yes",", Medic","")&amp;IF('Visit Log'!BE182="Yes",", Paint","")&amp;IF('Visit Log'!BF182="Yes",", Plaster","")&amp;IF('Visit Log'!BG182="Yes",", Props","")&amp;IF('Visit Log'!BH182="Yes",", Set Dec","")&amp;IF('Visit Log'!BI182="Yes",", Set Teacher","")&amp;IF('Visit Log'!BJ182="Yes",", Sound","")&amp;IF('Visit Log'!BK182="Yes",", SPFX","")&amp;IF('Visit Log'!BL182="Yes",", Video",""))="","",MID(IF('Visit Log'!AV182="Yes",", Art","")&amp;IF('Visit Log'!AW182="Yes",", Construction","")&amp;IF('Visit Log'!AX182="Yes",", Costumes","")&amp;IF('Visit Log'!AY182="Yes",", Craft Service","")&amp;IF('Visit Log'!AZ182="Yes",", Electrical","")&amp;IF('Visit Log'!BA182="Yes",", Greens","")&amp;IF('Visit Log'!BB182="Yes",", Grip","")&amp;IF('Visit Log'!BC182="Yes",", Locations","")&amp;IF('Visit Log'!BD182="Yes",", Medic","")&amp;IF('Visit Log'!BE182="Yes",", Paint","")&amp;IF('Visit Log'!BF182="Yes",", Plaster","")&amp;IF('Visit Log'!BG182="Yes",", Props","")&amp;IF('Visit Log'!BH182="Yes",", Set Dec","")&amp;IF('Visit Log'!BI182="Yes",", Set Teacher","")&amp;IF('Visit Log'!BJ182="Yes",", Sound","")&amp;IF('Visit Log'!BK182="Yes",", SPFX","")&amp;IF('Visit Log'!BL182="Yes",", Video",""),3,300)))</f>
        <v/>
      </c>
      <c r="F182" s="28">
        <f>IF('Visit Log'!C182="","",'Visit Log'!T182)</f>
        <v/>
      </c>
    </row>
    <row r="183">
      <c r="A183" s="32">
        <f>IF('Visit Log'!C183="","",'Visit Log'!A183)</f>
        <v/>
      </c>
      <c r="B183" s="32">
        <f>IF('Visit Log'!C183="","",'Visit Log'!C183)</f>
        <v/>
      </c>
      <c r="C183" s="32">
        <f>IF('Visit Log'!C183="","",'Visit Log'!D183)</f>
        <v/>
      </c>
      <c r="D183" s="33">
        <f>IF('Visit Log'!C183="","",'Visit Log'!B183)</f>
        <v/>
      </c>
      <c r="E183" s="32">
        <f>IF('Visit Log'!C183="","",IF((IF('Visit Log'!AV183="Yes",", Art","")&amp;IF('Visit Log'!AW183="Yes",", Construction","")&amp;IF('Visit Log'!AX183="Yes",", Costumes","")&amp;IF('Visit Log'!AY183="Yes",", Craft Service","")&amp;IF('Visit Log'!AZ183="Yes",", Electrical","")&amp;IF('Visit Log'!BA183="Yes",", Greens","")&amp;IF('Visit Log'!BB183="Yes",", Grip","")&amp;IF('Visit Log'!BC183="Yes",", Locations","")&amp;IF('Visit Log'!BD183="Yes",", Medic","")&amp;IF('Visit Log'!BE183="Yes",", Paint","")&amp;IF('Visit Log'!BF183="Yes",", Plaster","")&amp;IF('Visit Log'!BG183="Yes",", Props","")&amp;IF('Visit Log'!BH183="Yes",", Set Dec","")&amp;IF('Visit Log'!BI183="Yes",", Set Teacher","")&amp;IF('Visit Log'!BJ183="Yes",", Sound","")&amp;IF('Visit Log'!BK183="Yes",", SPFX","")&amp;IF('Visit Log'!BL183="Yes",", Video",""))="","",MID(IF('Visit Log'!AV183="Yes",", Art","")&amp;IF('Visit Log'!AW183="Yes",", Construction","")&amp;IF('Visit Log'!AX183="Yes",", Costumes","")&amp;IF('Visit Log'!AY183="Yes",", Craft Service","")&amp;IF('Visit Log'!AZ183="Yes",", Electrical","")&amp;IF('Visit Log'!BA183="Yes",", Greens","")&amp;IF('Visit Log'!BB183="Yes",", Grip","")&amp;IF('Visit Log'!BC183="Yes",", Locations","")&amp;IF('Visit Log'!BD183="Yes",", Medic","")&amp;IF('Visit Log'!BE183="Yes",", Paint","")&amp;IF('Visit Log'!BF183="Yes",", Plaster","")&amp;IF('Visit Log'!BG183="Yes",", Props","")&amp;IF('Visit Log'!BH183="Yes",", Set Dec","")&amp;IF('Visit Log'!BI183="Yes",", Set Teacher","")&amp;IF('Visit Log'!BJ183="Yes",", Sound","")&amp;IF('Visit Log'!BK183="Yes",", SPFX","")&amp;IF('Visit Log'!BL183="Yes",", Video",""),3,300)))</f>
        <v/>
      </c>
      <c r="F183" s="32">
        <f>IF('Visit Log'!C183="","",'Visit Log'!T183)</f>
        <v/>
      </c>
    </row>
    <row r="184">
      <c r="A184" s="28">
        <f>IF('Visit Log'!C184="","",'Visit Log'!A184)</f>
        <v/>
      </c>
      <c r="B184" s="28">
        <f>IF('Visit Log'!C184="","",'Visit Log'!C184)</f>
        <v/>
      </c>
      <c r="C184" s="28">
        <f>IF('Visit Log'!C184="","",'Visit Log'!D184)</f>
        <v/>
      </c>
      <c r="D184" s="29">
        <f>IF('Visit Log'!C184="","",'Visit Log'!B184)</f>
        <v/>
      </c>
      <c r="E184" s="28">
        <f>IF('Visit Log'!C184="","",IF((IF('Visit Log'!AV184="Yes",", Art","")&amp;IF('Visit Log'!AW184="Yes",", Construction","")&amp;IF('Visit Log'!AX184="Yes",", Costumes","")&amp;IF('Visit Log'!AY184="Yes",", Craft Service","")&amp;IF('Visit Log'!AZ184="Yes",", Electrical","")&amp;IF('Visit Log'!BA184="Yes",", Greens","")&amp;IF('Visit Log'!BB184="Yes",", Grip","")&amp;IF('Visit Log'!BC184="Yes",", Locations","")&amp;IF('Visit Log'!BD184="Yes",", Medic","")&amp;IF('Visit Log'!BE184="Yes",", Paint","")&amp;IF('Visit Log'!BF184="Yes",", Plaster","")&amp;IF('Visit Log'!BG184="Yes",", Props","")&amp;IF('Visit Log'!BH184="Yes",", Set Dec","")&amp;IF('Visit Log'!BI184="Yes",", Set Teacher","")&amp;IF('Visit Log'!BJ184="Yes",", Sound","")&amp;IF('Visit Log'!BK184="Yes",", SPFX","")&amp;IF('Visit Log'!BL184="Yes",", Video",""))="","",MID(IF('Visit Log'!AV184="Yes",", Art","")&amp;IF('Visit Log'!AW184="Yes",", Construction","")&amp;IF('Visit Log'!AX184="Yes",", Costumes","")&amp;IF('Visit Log'!AY184="Yes",", Craft Service","")&amp;IF('Visit Log'!AZ184="Yes",", Electrical","")&amp;IF('Visit Log'!BA184="Yes",", Greens","")&amp;IF('Visit Log'!BB184="Yes",", Grip","")&amp;IF('Visit Log'!BC184="Yes",", Locations","")&amp;IF('Visit Log'!BD184="Yes",", Medic","")&amp;IF('Visit Log'!BE184="Yes",", Paint","")&amp;IF('Visit Log'!BF184="Yes",", Plaster","")&amp;IF('Visit Log'!BG184="Yes",", Props","")&amp;IF('Visit Log'!BH184="Yes",", Set Dec","")&amp;IF('Visit Log'!BI184="Yes",", Set Teacher","")&amp;IF('Visit Log'!BJ184="Yes",", Sound","")&amp;IF('Visit Log'!BK184="Yes",", SPFX","")&amp;IF('Visit Log'!BL184="Yes",", Video",""),3,300)))</f>
        <v/>
      </c>
      <c r="F184" s="28">
        <f>IF('Visit Log'!C184="","",'Visit Log'!T184)</f>
        <v/>
      </c>
    </row>
    <row r="185">
      <c r="A185" s="32">
        <f>IF('Visit Log'!C185="","",'Visit Log'!A185)</f>
        <v/>
      </c>
      <c r="B185" s="32">
        <f>IF('Visit Log'!C185="","",'Visit Log'!C185)</f>
        <v/>
      </c>
      <c r="C185" s="32">
        <f>IF('Visit Log'!C185="","",'Visit Log'!D185)</f>
        <v/>
      </c>
      <c r="D185" s="33">
        <f>IF('Visit Log'!C185="","",'Visit Log'!B185)</f>
        <v/>
      </c>
      <c r="E185" s="32">
        <f>IF('Visit Log'!C185="","",IF((IF('Visit Log'!AV185="Yes",", Art","")&amp;IF('Visit Log'!AW185="Yes",", Construction","")&amp;IF('Visit Log'!AX185="Yes",", Costumes","")&amp;IF('Visit Log'!AY185="Yes",", Craft Service","")&amp;IF('Visit Log'!AZ185="Yes",", Electrical","")&amp;IF('Visit Log'!BA185="Yes",", Greens","")&amp;IF('Visit Log'!BB185="Yes",", Grip","")&amp;IF('Visit Log'!BC185="Yes",", Locations","")&amp;IF('Visit Log'!BD185="Yes",", Medic","")&amp;IF('Visit Log'!BE185="Yes",", Paint","")&amp;IF('Visit Log'!BF185="Yes",", Plaster","")&amp;IF('Visit Log'!BG185="Yes",", Props","")&amp;IF('Visit Log'!BH185="Yes",", Set Dec","")&amp;IF('Visit Log'!BI185="Yes",", Set Teacher","")&amp;IF('Visit Log'!BJ185="Yes",", Sound","")&amp;IF('Visit Log'!BK185="Yes",", SPFX","")&amp;IF('Visit Log'!BL185="Yes",", Video",""))="","",MID(IF('Visit Log'!AV185="Yes",", Art","")&amp;IF('Visit Log'!AW185="Yes",", Construction","")&amp;IF('Visit Log'!AX185="Yes",", Costumes","")&amp;IF('Visit Log'!AY185="Yes",", Craft Service","")&amp;IF('Visit Log'!AZ185="Yes",", Electrical","")&amp;IF('Visit Log'!BA185="Yes",", Greens","")&amp;IF('Visit Log'!BB185="Yes",", Grip","")&amp;IF('Visit Log'!BC185="Yes",", Locations","")&amp;IF('Visit Log'!BD185="Yes",", Medic","")&amp;IF('Visit Log'!BE185="Yes",", Paint","")&amp;IF('Visit Log'!BF185="Yes",", Plaster","")&amp;IF('Visit Log'!BG185="Yes",", Props","")&amp;IF('Visit Log'!BH185="Yes",", Set Dec","")&amp;IF('Visit Log'!BI185="Yes",", Set Teacher","")&amp;IF('Visit Log'!BJ185="Yes",", Sound","")&amp;IF('Visit Log'!BK185="Yes",", SPFX","")&amp;IF('Visit Log'!BL185="Yes",", Video",""),3,300)))</f>
        <v/>
      </c>
      <c r="F185" s="32">
        <f>IF('Visit Log'!C185="","",'Visit Log'!T185)</f>
        <v/>
      </c>
    </row>
    <row r="186">
      <c r="A186" s="28">
        <f>IF('Visit Log'!C186="","",'Visit Log'!A186)</f>
        <v/>
      </c>
      <c r="B186" s="28">
        <f>IF('Visit Log'!C186="","",'Visit Log'!C186)</f>
        <v/>
      </c>
      <c r="C186" s="28">
        <f>IF('Visit Log'!C186="","",'Visit Log'!D186)</f>
        <v/>
      </c>
      <c r="D186" s="29">
        <f>IF('Visit Log'!C186="","",'Visit Log'!B186)</f>
        <v/>
      </c>
      <c r="E186" s="28">
        <f>IF('Visit Log'!C186="","",IF((IF('Visit Log'!AV186="Yes",", Art","")&amp;IF('Visit Log'!AW186="Yes",", Construction","")&amp;IF('Visit Log'!AX186="Yes",", Costumes","")&amp;IF('Visit Log'!AY186="Yes",", Craft Service","")&amp;IF('Visit Log'!AZ186="Yes",", Electrical","")&amp;IF('Visit Log'!BA186="Yes",", Greens","")&amp;IF('Visit Log'!BB186="Yes",", Grip","")&amp;IF('Visit Log'!BC186="Yes",", Locations","")&amp;IF('Visit Log'!BD186="Yes",", Medic","")&amp;IF('Visit Log'!BE186="Yes",", Paint","")&amp;IF('Visit Log'!BF186="Yes",", Plaster","")&amp;IF('Visit Log'!BG186="Yes",", Props","")&amp;IF('Visit Log'!BH186="Yes",", Set Dec","")&amp;IF('Visit Log'!BI186="Yes",", Set Teacher","")&amp;IF('Visit Log'!BJ186="Yes",", Sound","")&amp;IF('Visit Log'!BK186="Yes",", SPFX","")&amp;IF('Visit Log'!BL186="Yes",", Video",""))="","",MID(IF('Visit Log'!AV186="Yes",", Art","")&amp;IF('Visit Log'!AW186="Yes",", Construction","")&amp;IF('Visit Log'!AX186="Yes",", Costumes","")&amp;IF('Visit Log'!AY186="Yes",", Craft Service","")&amp;IF('Visit Log'!AZ186="Yes",", Electrical","")&amp;IF('Visit Log'!BA186="Yes",", Greens","")&amp;IF('Visit Log'!BB186="Yes",", Grip","")&amp;IF('Visit Log'!BC186="Yes",", Locations","")&amp;IF('Visit Log'!BD186="Yes",", Medic","")&amp;IF('Visit Log'!BE186="Yes",", Paint","")&amp;IF('Visit Log'!BF186="Yes",", Plaster","")&amp;IF('Visit Log'!BG186="Yes",", Props","")&amp;IF('Visit Log'!BH186="Yes",", Set Dec","")&amp;IF('Visit Log'!BI186="Yes",", Set Teacher","")&amp;IF('Visit Log'!BJ186="Yes",", Sound","")&amp;IF('Visit Log'!BK186="Yes",", SPFX","")&amp;IF('Visit Log'!BL186="Yes",", Video",""),3,300)))</f>
        <v/>
      </c>
      <c r="F186" s="28">
        <f>IF('Visit Log'!C186="","",'Visit Log'!T186)</f>
        <v/>
      </c>
    </row>
    <row r="187">
      <c r="A187" s="32">
        <f>IF('Visit Log'!C187="","",'Visit Log'!A187)</f>
        <v/>
      </c>
      <c r="B187" s="32">
        <f>IF('Visit Log'!C187="","",'Visit Log'!C187)</f>
        <v/>
      </c>
      <c r="C187" s="32">
        <f>IF('Visit Log'!C187="","",'Visit Log'!D187)</f>
        <v/>
      </c>
      <c r="D187" s="33">
        <f>IF('Visit Log'!C187="","",'Visit Log'!B187)</f>
        <v/>
      </c>
      <c r="E187" s="32">
        <f>IF('Visit Log'!C187="","",IF((IF('Visit Log'!AV187="Yes",", Art","")&amp;IF('Visit Log'!AW187="Yes",", Construction","")&amp;IF('Visit Log'!AX187="Yes",", Costumes","")&amp;IF('Visit Log'!AY187="Yes",", Craft Service","")&amp;IF('Visit Log'!AZ187="Yes",", Electrical","")&amp;IF('Visit Log'!BA187="Yes",", Greens","")&amp;IF('Visit Log'!BB187="Yes",", Grip","")&amp;IF('Visit Log'!BC187="Yes",", Locations","")&amp;IF('Visit Log'!BD187="Yes",", Medic","")&amp;IF('Visit Log'!BE187="Yes",", Paint","")&amp;IF('Visit Log'!BF187="Yes",", Plaster","")&amp;IF('Visit Log'!BG187="Yes",", Props","")&amp;IF('Visit Log'!BH187="Yes",", Set Dec","")&amp;IF('Visit Log'!BI187="Yes",", Set Teacher","")&amp;IF('Visit Log'!BJ187="Yes",", Sound","")&amp;IF('Visit Log'!BK187="Yes",", SPFX","")&amp;IF('Visit Log'!BL187="Yes",", Video",""))="","",MID(IF('Visit Log'!AV187="Yes",", Art","")&amp;IF('Visit Log'!AW187="Yes",", Construction","")&amp;IF('Visit Log'!AX187="Yes",", Costumes","")&amp;IF('Visit Log'!AY187="Yes",", Craft Service","")&amp;IF('Visit Log'!AZ187="Yes",", Electrical","")&amp;IF('Visit Log'!BA187="Yes",", Greens","")&amp;IF('Visit Log'!BB187="Yes",", Grip","")&amp;IF('Visit Log'!BC187="Yes",", Locations","")&amp;IF('Visit Log'!BD187="Yes",", Medic","")&amp;IF('Visit Log'!BE187="Yes",", Paint","")&amp;IF('Visit Log'!BF187="Yes",", Plaster","")&amp;IF('Visit Log'!BG187="Yes",", Props","")&amp;IF('Visit Log'!BH187="Yes",", Set Dec","")&amp;IF('Visit Log'!BI187="Yes",", Set Teacher","")&amp;IF('Visit Log'!BJ187="Yes",", Sound","")&amp;IF('Visit Log'!BK187="Yes",", SPFX","")&amp;IF('Visit Log'!BL187="Yes",", Video",""),3,300)))</f>
        <v/>
      </c>
      <c r="F187" s="32">
        <f>IF('Visit Log'!C187="","",'Visit Log'!T187)</f>
        <v/>
      </c>
    </row>
    <row r="188">
      <c r="A188" s="28">
        <f>IF('Visit Log'!C188="","",'Visit Log'!A188)</f>
        <v/>
      </c>
      <c r="B188" s="28">
        <f>IF('Visit Log'!C188="","",'Visit Log'!C188)</f>
        <v/>
      </c>
      <c r="C188" s="28">
        <f>IF('Visit Log'!C188="","",'Visit Log'!D188)</f>
        <v/>
      </c>
      <c r="D188" s="29">
        <f>IF('Visit Log'!C188="","",'Visit Log'!B188)</f>
        <v/>
      </c>
      <c r="E188" s="28">
        <f>IF('Visit Log'!C188="","",IF((IF('Visit Log'!AV188="Yes",", Art","")&amp;IF('Visit Log'!AW188="Yes",", Construction","")&amp;IF('Visit Log'!AX188="Yes",", Costumes","")&amp;IF('Visit Log'!AY188="Yes",", Craft Service","")&amp;IF('Visit Log'!AZ188="Yes",", Electrical","")&amp;IF('Visit Log'!BA188="Yes",", Greens","")&amp;IF('Visit Log'!BB188="Yes",", Grip","")&amp;IF('Visit Log'!BC188="Yes",", Locations","")&amp;IF('Visit Log'!BD188="Yes",", Medic","")&amp;IF('Visit Log'!BE188="Yes",", Paint","")&amp;IF('Visit Log'!BF188="Yes",", Plaster","")&amp;IF('Visit Log'!BG188="Yes",", Props","")&amp;IF('Visit Log'!BH188="Yes",", Set Dec","")&amp;IF('Visit Log'!BI188="Yes",", Set Teacher","")&amp;IF('Visit Log'!BJ188="Yes",", Sound","")&amp;IF('Visit Log'!BK188="Yes",", SPFX","")&amp;IF('Visit Log'!BL188="Yes",", Video",""))="","",MID(IF('Visit Log'!AV188="Yes",", Art","")&amp;IF('Visit Log'!AW188="Yes",", Construction","")&amp;IF('Visit Log'!AX188="Yes",", Costumes","")&amp;IF('Visit Log'!AY188="Yes",", Craft Service","")&amp;IF('Visit Log'!AZ188="Yes",", Electrical","")&amp;IF('Visit Log'!BA188="Yes",", Greens","")&amp;IF('Visit Log'!BB188="Yes",", Grip","")&amp;IF('Visit Log'!BC188="Yes",", Locations","")&amp;IF('Visit Log'!BD188="Yes",", Medic","")&amp;IF('Visit Log'!BE188="Yes",", Paint","")&amp;IF('Visit Log'!BF188="Yes",", Plaster","")&amp;IF('Visit Log'!BG188="Yes",", Props","")&amp;IF('Visit Log'!BH188="Yes",", Set Dec","")&amp;IF('Visit Log'!BI188="Yes",", Set Teacher","")&amp;IF('Visit Log'!BJ188="Yes",", Sound","")&amp;IF('Visit Log'!BK188="Yes",", SPFX","")&amp;IF('Visit Log'!BL188="Yes",", Video",""),3,300)))</f>
        <v/>
      </c>
      <c r="F188" s="28">
        <f>IF('Visit Log'!C188="","",'Visit Log'!T188)</f>
        <v/>
      </c>
    </row>
    <row r="189">
      <c r="A189" s="32">
        <f>IF('Visit Log'!C189="","",'Visit Log'!A189)</f>
        <v/>
      </c>
      <c r="B189" s="32">
        <f>IF('Visit Log'!C189="","",'Visit Log'!C189)</f>
        <v/>
      </c>
      <c r="C189" s="32">
        <f>IF('Visit Log'!C189="","",'Visit Log'!D189)</f>
        <v/>
      </c>
      <c r="D189" s="33">
        <f>IF('Visit Log'!C189="","",'Visit Log'!B189)</f>
        <v/>
      </c>
      <c r="E189" s="32">
        <f>IF('Visit Log'!C189="","",IF((IF('Visit Log'!AV189="Yes",", Art","")&amp;IF('Visit Log'!AW189="Yes",", Construction","")&amp;IF('Visit Log'!AX189="Yes",", Costumes","")&amp;IF('Visit Log'!AY189="Yes",", Craft Service","")&amp;IF('Visit Log'!AZ189="Yes",", Electrical","")&amp;IF('Visit Log'!BA189="Yes",", Greens","")&amp;IF('Visit Log'!BB189="Yes",", Grip","")&amp;IF('Visit Log'!BC189="Yes",", Locations","")&amp;IF('Visit Log'!BD189="Yes",", Medic","")&amp;IF('Visit Log'!BE189="Yes",", Paint","")&amp;IF('Visit Log'!BF189="Yes",", Plaster","")&amp;IF('Visit Log'!BG189="Yes",", Props","")&amp;IF('Visit Log'!BH189="Yes",", Set Dec","")&amp;IF('Visit Log'!BI189="Yes",", Set Teacher","")&amp;IF('Visit Log'!BJ189="Yes",", Sound","")&amp;IF('Visit Log'!BK189="Yes",", SPFX","")&amp;IF('Visit Log'!BL189="Yes",", Video",""))="","",MID(IF('Visit Log'!AV189="Yes",", Art","")&amp;IF('Visit Log'!AW189="Yes",", Construction","")&amp;IF('Visit Log'!AX189="Yes",", Costumes","")&amp;IF('Visit Log'!AY189="Yes",", Craft Service","")&amp;IF('Visit Log'!AZ189="Yes",", Electrical","")&amp;IF('Visit Log'!BA189="Yes",", Greens","")&amp;IF('Visit Log'!BB189="Yes",", Grip","")&amp;IF('Visit Log'!BC189="Yes",", Locations","")&amp;IF('Visit Log'!BD189="Yes",", Medic","")&amp;IF('Visit Log'!BE189="Yes",", Paint","")&amp;IF('Visit Log'!BF189="Yes",", Plaster","")&amp;IF('Visit Log'!BG189="Yes",", Props","")&amp;IF('Visit Log'!BH189="Yes",", Set Dec","")&amp;IF('Visit Log'!BI189="Yes",", Set Teacher","")&amp;IF('Visit Log'!BJ189="Yes",", Sound","")&amp;IF('Visit Log'!BK189="Yes",", SPFX","")&amp;IF('Visit Log'!BL189="Yes",", Video",""),3,300)))</f>
        <v/>
      </c>
      <c r="F189" s="32">
        <f>IF('Visit Log'!C189="","",'Visit Log'!T189)</f>
        <v/>
      </c>
    </row>
    <row r="190">
      <c r="A190" s="28">
        <f>IF('Visit Log'!C190="","",'Visit Log'!A190)</f>
        <v/>
      </c>
      <c r="B190" s="28">
        <f>IF('Visit Log'!C190="","",'Visit Log'!C190)</f>
        <v/>
      </c>
      <c r="C190" s="28">
        <f>IF('Visit Log'!C190="","",'Visit Log'!D190)</f>
        <v/>
      </c>
      <c r="D190" s="29">
        <f>IF('Visit Log'!C190="","",'Visit Log'!B190)</f>
        <v/>
      </c>
      <c r="E190" s="28">
        <f>IF('Visit Log'!C190="","",IF((IF('Visit Log'!AV190="Yes",", Art","")&amp;IF('Visit Log'!AW190="Yes",", Construction","")&amp;IF('Visit Log'!AX190="Yes",", Costumes","")&amp;IF('Visit Log'!AY190="Yes",", Craft Service","")&amp;IF('Visit Log'!AZ190="Yes",", Electrical","")&amp;IF('Visit Log'!BA190="Yes",", Greens","")&amp;IF('Visit Log'!BB190="Yes",", Grip","")&amp;IF('Visit Log'!BC190="Yes",", Locations","")&amp;IF('Visit Log'!BD190="Yes",", Medic","")&amp;IF('Visit Log'!BE190="Yes",", Paint","")&amp;IF('Visit Log'!BF190="Yes",", Plaster","")&amp;IF('Visit Log'!BG190="Yes",", Props","")&amp;IF('Visit Log'!BH190="Yes",", Set Dec","")&amp;IF('Visit Log'!BI190="Yes",", Set Teacher","")&amp;IF('Visit Log'!BJ190="Yes",", Sound","")&amp;IF('Visit Log'!BK190="Yes",", SPFX","")&amp;IF('Visit Log'!BL190="Yes",", Video",""))="","",MID(IF('Visit Log'!AV190="Yes",", Art","")&amp;IF('Visit Log'!AW190="Yes",", Construction","")&amp;IF('Visit Log'!AX190="Yes",", Costumes","")&amp;IF('Visit Log'!AY190="Yes",", Craft Service","")&amp;IF('Visit Log'!AZ190="Yes",", Electrical","")&amp;IF('Visit Log'!BA190="Yes",", Greens","")&amp;IF('Visit Log'!BB190="Yes",", Grip","")&amp;IF('Visit Log'!BC190="Yes",", Locations","")&amp;IF('Visit Log'!BD190="Yes",", Medic","")&amp;IF('Visit Log'!BE190="Yes",", Paint","")&amp;IF('Visit Log'!BF190="Yes",", Plaster","")&amp;IF('Visit Log'!BG190="Yes",", Props","")&amp;IF('Visit Log'!BH190="Yes",", Set Dec","")&amp;IF('Visit Log'!BI190="Yes",", Set Teacher","")&amp;IF('Visit Log'!BJ190="Yes",", Sound","")&amp;IF('Visit Log'!BK190="Yes",", SPFX","")&amp;IF('Visit Log'!BL190="Yes",", Video",""),3,300)))</f>
        <v/>
      </c>
      <c r="F190" s="28">
        <f>IF('Visit Log'!C190="","",'Visit Log'!T190)</f>
        <v/>
      </c>
    </row>
    <row r="191">
      <c r="A191" s="32">
        <f>IF('Visit Log'!C191="","",'Visit Log'!A191)</f>
        <v/>
      </c>
      <c r="B191" s="32">
        <f>IF('Visit Log'!C191="","",'Visit Log'!C191)</f>
        <v/>
      </c>
      <c r="C191" s="32">
        <f>IF('Visit Log'!C191="","",'Visit Log'!D191)</f>
        <v/>
      </c>
      <c r="D191" s="33">
        <f>IF('Visit Log'!C191="","",'Visit Log'!B191)</f>
        <v/>
      </c>
      <c r="E191" s="32">
        <f>IF('Visit Log'!C191="","",IF((IF('Visit Log'!AV191="Yes",", Art","")&amp;IF('Visit Log'!AW191="Yes",", Construction","")&amp;IF('Visit Log'!AX191="Yes",", Costumes","")&amp;IF('Visit Log'!AY191="Yes",", Craft Service","")&amp;IF('Visit Log'!AZ191="Yes",", Electrical","")&amp;IF('Visit Log'!BA191="Yes",", Greens","")&amp;IF('Visit Log'!BB191="Yes",", Grip","")&amp;IF('Visit Log'!BC191="Yes",", Locations","")&amp;IF('Visit Log'!BD191="Yes",", Medic","")&amp;IF('Visit Log'!BE191="Yes",", Paint","")&amp;IF('Visit Log'!BF191="Yes",", Plaster","")&amp;IF('Visit Log'!BG191="Yes",", Props","")&amp;IF('Visit Log'!BH191="Yes",", Set Dec","")&amp;IF('Visit Log'!BI191="Yes",", Set Teacher","")&amp;IF('Visit Log'!BJ191="Yes",", Sound","")&amp;IF('Visit Log'!BK191="Yes",", SPFX","")&amp;IF('Visit Log'!BL191="Yes",", Video",""))="","",MID(IF('Visit Log'!AV191="Yes",", Art","")&amp;IF('Visit Log'!AW191="Yes",", Construction","")&amp;IF('Visit Log'!AX191="Yes",", Costumes","")&amp;IF('Visit Log'!AY191="Yes",", Craft Service","")&amp;IF('Visit Log'!AZ191="Yes",", Electrical","")&amp;IF('Visit Log'!BA191="Yes",", Greens","")&amp;IF('Visit Log'!BB191="Yes",", Grip","")&amp;IF('Visit Log'!BC191="Yes",", Locations","")&amp;IF('Visit Log'!BD191="Yes",", Medic","")&amp;IF('Visit Log'!BE191="Yes",", Paint","")&amp;IF('Visit Log'!BF191="Yes",", Plaster","")&amp;IF('Visit Log'!BG191="Yes",", Props","")&amp;IF('Visit Log'!BH191="Yes",", Set Dec","")&amp;IF('Visit Log'!BI191="Yes",", Set Teacher","")&amp;IF('Visit Log'!BJ191="Yes",", Sound","")&amp;IF('Visit Log'!BK191="Yes",", SPFX","")&amp;IF('Visit Log'!BL191="Yes",", Video",""),3,300)))</f>
        <v/>
      </c>
      <c r="F191" s="32">
        <f>IF('Visit Log'!C191="","",'Visit Log'!T191)</f>
        <v/>
      </c>
    </row>
    <row r="192">
      <c r="A192" s="28">
        <f>IF('Visit Log'!C192="","",'Visit Log'!A192)</f>
        <v/>
      </c>
      <c r="B192" s="28">
        <f>IF('Visit Log'!C192="","",'Visit Log'!C192)</f>
        <v/>
      </c>
      <c r="C192" s="28">
        <f>IF('Visit Log'!C192="","",'Visit Log'!D192)</f>
        <v/>
      </c>
      <c r="D192" s="29">
        <f>IF('Visit Log'!C192="","",'Visit Log'!B192)</f>
        <v/>
      </c>
      <c r="E192" s="28">
        <f>IF('Visit Log'!C192="","",IF((IF('Visit Log'!AV192="Yes",", Art","")&amp;IF('Visit Log'!AW192="Yes",", Construction","")&amp;IF('Visit Log'!AX192="Yes",", Costumes","")&amp;IF('Visit Log'!AY192="Yes",", Craft Service","")&amp;IF('Visit Log'!AZ192="Yes",", Electrical","")&amp;IF('Visit Log'!BA192="Yes",", Greens","")&amp;IF('Visit Log'!BB192="Yes",", Grip","")&amp;IF('Visit Log'!BC192="Yes",", Locations","")&amp;IF('Visit Log'!BD192="Yes",", Medic","")&amp;IF('Visit Log'!BE192="Yes",", Paint","")&amp;IF('Visit Log'!BF192="Yes",", Plaster","")&amp;IF('Visit Log'!BG192="Yes",", Props","")&amp;IF('Visit Log'!BH192="Yes",", Set Dec","")&amp;IF('Visit Log'!BI192="Yes",", Set Teacher","")&amp;IF('Visit Log'!BJ192="Yes",", Sound","")&amp;IF('Visit Log'!BK192="Yes",", SPFX","")&amp;IF('Visit Log'!BL192="Yes",", Video",""))="","",MID(IF('Visit Log'!AV192="Yes",", Art","")&amp;IF('Visit Log'!AW192="Yes",", Construction","")&amp;IF('Visit Log'!AX192="Yes",", Costumes","")&amp;IF('Visit Log'!AY192="Yes",", Craft Service","")&amp;IF('Visit Log'!AZ192="Yes",", Electrical","")&amp;IF('Visit Log'!BA192="Yes",", Greens","")&amp;IF('Visit Log'!BB192="Yes",", Grip","")&amp;IF('Visit Log'!BC192="Yes",", Locations","")&amp;IF('Visit Log'!BD192="Yes",", Medic","")&amp;IF('Visit Log'!BE192="Yes",", Paint","")&amp;IF('Visit Log'!BF192="Yes",", Plaster","")&amp;IF('Visit Log'!BG192="Yes",", Props","")&amp;IF('Visit Log'!BH192="Yes",", Set Dec","")&amp;IF('Visit Log'!BI192="Yes",", Set Teacher","")&amp;IF('Visit Log'!BJ192="Yes",", Sound","")&amp;IF('Visit Log'!BK192="Yes",", SPFX","")&amp;IF('Visit Log'!BL192="Yes",", Video",""),3,300)))</f>
        <v/>
      </c>
      <c r="F192" s="28">
        <f>IF('Visit Log'!C192="","",'Visit Log'!T192)</f>
        <v/>
      </c>
    </row>
    <row r="193">
      <c r="A193" s="32">
        <f>IF('Visit Log'!C193="","",'Visit Log'!A193)</f>
        <v/>
      </c>
      <c r="B193" s="32">
        <f>IF('Visit Log'!C193="","",'Visit Log'!C193)</f>
        <v/>
      </c>
      <c r="C193" s="32">
        <f>IF('Visit Log'!C193="","",'Visit Log'!D193)</f>
        <v/>
      </c>
      <c r="D193" s="33">
        <f>IF('Visit Log'!C193="","",'Visit Log'!B193)</f>
        <v/>
      </c>
      <c r="E193" s="32">
        <f>IF('Visit Log'!C193="","",IF((IF('Visit Log'!AV193="Yes",", Art","")&amp;IF('Visit Log'!AW193="Yes",", Construction","")&amp;IF('Visit Log'!AX193="Yes",", Costumes","")&amp;IF('Visit Log'!AY193="Yes",", Craft Service","")&amp;IF('Visit Log'!AZ193="Yes",", Electrical","")&amp;IF('Visit Log'!BA193="Yes",", Greens","")&amp;IF('Visit Log'!BB193="Yes",", Grip","")&amp;IF('Visit Log'!BC193="Yes",", Locations","")&amp;IF('Visit Log'!BD193="Yes",", Medic","")&amp;IF('Visit Log'!BE193="Yes",", Paint","")&amp;IF('Visit Log'!BF193="Yes",", Plaster","")&amp;IF('Visit Log'!BG193="Yes",", Props","")&amp;IF('Visit Log'!BH193="Yes",", Set Dec","")&amp;IF('Visit Log'!BI193="Yes",", Set Teacher","")&amp;IF('Visit Log'!BJ193="Yes",", Sound","")&amp;IF('Visit Log'!BK193="Yes",", SPFX","")&amp;IF('Visit Log'!BL193="Yes",", Video",""))="","",MID(IF('Visit Log'!AV193="Yes",", Art","")&amp;IF('Visit Log'!AW193="Yes",", Construction","")&amp;IF('Visit Log'!AX193="Yes",", Costumes","")&amp;IF('Visit Log'!AY193="Yes",", Craft Service","")&amp;IF('Visit Log'!AZ193="Yes",", Electrical","")&amp;IF('Visit Log'!BA193="Yes",", Greens","")&amp;IF('Visit Log'!BB193="Yes",", Grip","")&amp;IF('Visit Log'!BC193="Yes",", Locations","")&amp;IF('Visit Log'!BD193="Yes",", Medic","")&amp;IF('Visit Log'!BE193="Yes",", Paint","")&amp;IF('Visit Log'!BF193="Yes",", Plaster","")&amp;IF('Visit Log'!BG193="Yes",", Props","")&amp;IF('Visit Log'!BH193="Yes",", Set Dec","")&amp;IF('Visit Log'!BI193="Yes",", Set Teacher","")&amp;IF('Visit Log'!BJ193="Yes",", Sound","")&amp;IF('Visit Log'!BK193="Yes",", SPFX","")&amp;IF('Visit Log'!BL193="Yes",", Video",""),3,300)))</f>
        <v/>
      </c>
      <c r="F193" s="32">
        <f>IF('Visit Log'!C193="","",'Visit Log'!T193)</f>
        <v/>
      </c>
    </row>
    <row r="194">
      <c r="A194" s="28">
        <f>IF('Visit Log'!C194="","",'Visit Log'!A194)</f>
        <v/>
      </c>
      <c r="B194" s="28">
        <f>IF('Visit Log'!C194="","",'Visit Log'!C194)</f>
        <v/>
      </c>
      <c r="C194" s="28">
        <f>IF('Visit Log'!C194="","",'Visit Log'!D194)</f>
        <v/>
      </c>
      <c r="D194" s="29">
        <f>IF('Visit Log'!C194="","",'Visit Log'!B194)</f>
        <v/>
      </c>
      <c r="E194" s="28">
        <f>IF('Visit Log'!C194="","",IF((IF('Visit Log'!AV194="Yes",", Art","")&amp;IF('Visit Log'!AW194="Yes",", Construction","")&amp;IF('Visit Log'!AX194="Yes",", Costumes","")&amp;IF('Visit Log'!AY194="Yes",", Craft Service","")&amp;IF('Visit Log'!AZ194="Yes",", Electrical","")&amp;IF('Visit Log'!BA194="Yes",", Greens","")&amp;IF('Visit Log'!BB194="Yes",", Grip","")&amp;IF('Visit Log'!BC194="Yes",", Locations","")&amp;IF('Visit Log'!BD194="Yes",", Medic","")&amp;IF('Visit Log'!BE194="Yes",", Paint","")&amp;IF('Visit Log'!BF194="Yes",", Plaster","")&amp;IF('Visit Log'!BG194="Yes",", Props","")&amp;IF('Visit Log'!BH194="Yes",", Set Dec","")&amp;IF('Visit Log'!BI194="Yes",", Set Teacher","")&amp;IF('Visit Log'!BJ194="Yes",", Sound","")&amp;IF('Visit Log'!BK194="Yes",", SPFX","")&amp;IF('Visit Log'!BL194="Yes",", Video",""))="","",MID(IF('Visit Log'!AV194="Yes",", Art","")&amp;IF('Visit Log'!AW194="Yes",", Construction","")&amp;IF('Visit Log'!AX194="Yes",", Costumes","")&amp;IF('Visit Log'!AY194="Yes",", Craft Service","")&amp;IF('Visit Log'!AZ194="Yes",", Electrical","")&amp;IF('Visit Log'!BA194="Yes",", Greens","")&amp;IF('Visit Log'!BB194="Yes",", Grip","")&amp;IF('Visit Log'!BC194="Yes",", Locations","")&amp;IF('Visit Log'!BD194="Yes",", Medic","")&amp;IF('Visit Log'!BE194="Yes",", Paint","")&amp;IF('Visit Log'!BF194="Yes",", Plaster","")&amp;IF('Visit Log'!BG194="Yes",", Props","")&amp;IF('Visit Log'!BH194="Yes",", Set Dec","")&amp;IF('Visit Log'!BI194="Yes",", Set Teacher","")&amp;IF('Visit Log'!BJ194="Yes",", Sound","")&amp;IF('Visit Log'!BK194="Yes",", SPFX","")&amp;IF('Visit Log'!BL194="Yes",", Video",""),3,300)))</f>
        <v/>
      </c>
      <c r="F194" s="28">
        <f>IF('Visit Log'!C194="","",'Visit Log'!T194)</f>
        <v/>
      </c>
    </row>
    <row r="195">
      <c r="A195" s="32">
        <f>IF('Visit Log'!C195="","",'Visit Log'!A195)</f>
        <v/>
      </c>
      <c r="B195" s="32">
        <f>IF('Visit Log'!C195="","",'Visit Log'!C195)</f>
        <v/>
      </c>
      <c r="C195" s="32">
        <f>IF('Visit Log'!C195="","",'Visit Log'!D195)</f>
        <v/>
      </c>
      <c r="D195" s="33">
        <f>IF('Visit Log'!C195="","",'Visit Log'!B195)</f>
        <v/>
      </c>
      <c r="E195" s="32">
        <f>IF('Visit Log'!C195="","",IF((IF('Visit Log'!AV195="Yes",", Art","")&amp;IF('Visit Log'!AW195="Yes",", Construction","")&amp;IF('Visit Log'!AX195="Yes",", Costumes","")&amp;IF('Visit Log'!AY195="Yes",", Craft Service","")&amp;IF('Visit Log'!AZ195="Yes",", Electrical","")&amp;IF('Visit Log'!BA195="Yes",", Greens","")&amp;IF('Visit Log'!BB195="Yes",", Grip","")&amp;IF('Visit Log'!BC195="Yes",", Locations","")&amp;IF('Visit Log'!BD195="Yes",", Medic","")&amp;IF('Visit Log'!BE195="Yes",", Paint","")&amp;IF('Visit Log'!BF195="Yes",", Plaster","")&amp;IF('Visit Log'!BG195="Yes",", Props","")&amp;IF('Visit Log'!BH195="Yes",", Set Dec","")&amp;IF('Visit Log'!BI195="Yes",", Set Teacher","")&amp;IF('Visit Log'!BJ195="Yes",", Sound","")&amp;IF('Visit Log'!BK195="Yes",", SPFX","")&amp;IF('Visit Log'!BL195="Yes",", Video",""))="","",MID(IF('Visit Log'!AV195="Yes",", Art","")&amp;IF('Visit Log'!AW195="Yes",", Construction","")&amp;IF('Visit Log'!AX195="Yes",", Costumes","")&amp;IF('Visit Log'!AY195="Yes",", Craft Service","")&amp;IF('Visit Log'!AZ195="Yes",", Electrical","")&amp;IF('Visit Log'!BA195="Yes",", Greens","")&amp;IF('Visit Log'!BB195="Yes",", Grip","")&amp;IF('Visit Log'!BC195="Yes",", Locations","")&amp;IF('Visit Log'!BD195="Yes",", Medic","")&amp;IF('Visit Log'!BE195="Yes",", Paint","")&amp;IF('Visit Log'!BF195="Yes",", Plaster","")&amp;IF('Visit Log'!BG195="Yes",", Props","")&amp;IF('Visit Log'!BH195="Yes",", Set Dec","")&amp;IF('Visit Log'!BI195="Yes",", Set Teacher","")&amp;IF('Visit Log'!BJ195="Yes",", Sound","")&amp;IF('Visit Log'!BK195="Yes",", SPFX","")&amp;IF('Visit Log'!BL195="Yes",", Video",""),3,300)))</f>
        <v/>
      </c>
      <c r="F195" s="32">
        <f>IF('Visit Log'!C195="","",'Visit Log'!T195)</f>
        <v/>
      </c>
    </row>
    <row r="196">
      <c r="A196" s="28">
        <f>IF('Visit Log'!C196="","",'Visit Log'!A196)</f>
        <v/>
      </c>
      <c r="B196" s="28">
        <f>IF('Visit Log'!C196="","",'Visit Log'!C196)</f>
        <v/>
      </c>
      <c r="C196" s="28">
        <f>IF('Visit Log'!C196="","",'Visit Log'!D196)</f>
        <v/>
      </c>
      <c r="D196" s="29">
        <f>IF('Visit Log'!C196="","",'Visit Log'!B196)</f>
        <v/>
      </c>
      <c r="E196" s="28">
        <f>IF('Visit Log'!C196="","",IF((IF('Visit Log'!AV196="Yes",", Art","")&amp;IF('Visit Log'!AW196="Yes",", Construction","")&amp;IF('Visit Log'!AX196="Yes",", Costumes","")&amp;IF('Visit Log'!AY196="Yes",", Craft Service","")&amp;IF('Visit Log'!AZ196="Yes",", Electrical","")&amp;IF('Visit Log'!BA196="Yes",", Greens","")&amp;IF('Visit Log'!BB196="Yes",", Grip","")&amp;IF('Visit Log'!BC196="Yes",", Locations","")&amp;IF('Visit Log'!BD196="Yes",", Medic","")&amp;IF('Visit Log'!BE196="Yes",", Paint","")&amp;IF('Visit Log'!BF196="Yes",", Plaster","")&amp;IF('Visit Log'!BG196="Yes",", Props","")&amp;IF('Visit Log'!BH196="Yes",", Set Dec","")&amp;IF('Visit Log'!BI196="Yes",", Set Teacher","")&amp;IF('Visit Log'!BJ196="Yes",", Sound","")&amp;IF('Visit Log'!BK196="Yes",", SPFX","")&amp;IF('Visit Log'!BL196="Yes",", Video",""))="","",MID(IF('Visit Log'!AV196="Yes",", Art","")&amp;IF('Visit Log'!AW196="Yes",", Construction","")&amp;IF('Visit Log'!AX196="Yes",", Costumes","")&amp;IF('Visit Log'!AY196="Yes",", Craft Service","")&amp;IF('Visit Log'!AZ196="Yes",", Electrical","")&amp;IF('Visit Log'!BA196="Yes",", Greens","")&amp;IF('Visit Log'!BB196="Yes",", Grip","")&amp;IF('Visit Log'!BC196="Yes",", Locations","")&amp;IF('Visit Log'!BD196="Yes",", Medic","")&amp;IF('Visit Log'!BE196="Yes",", Paint","")&amp;IF('Visit Log'!BF196="Yes",", Plaster","")&amp;IF('Visit Log'!BG196="Yes",", Props","")&amp;IF('Visit Log'!BH196="Yes",", Set Dec","")&amp;IF('Visit Log'!BI196="Yes",", Set Teacher","")&amp;IF('Visit Log'!BJ196="Yes",", Sound","")&amp;IF('Visit Log'!BK196="Yes",", SPFX","")&amp;IF('Visit Log'!BL196="Yes",", Video",""),3,300)))</f>
        <v/>
      </c>
      <c r="F196" s="28">
        <f>IF('Visit Log'!C196="","",'Visit Log'!T196)</f>
        <v/>
      </c>
    </row>
    <row r="197">
      <c r="A197" s="32">
        <f>IF('Visit Log'!C197="","",'Visit Log'!A197)</f>
        <v/>
      </c>
      <c r="B197" s="32">
        <f>IF('Visit Log'!C197="","",'Visit Log'!C197)</f>
        <v/>
      </c>
      <c r="C197" s="32">
        <f>IF('Visit Log'!C197="","",'Visit Log'!D197)</f>
        <v/>
      </c>
      <c r="D197" s="33">
        <f>IF('Visit Log'!C197="","",'Visit Log'!B197)</f>
        <v/>
      </c>
      <c r="E197" s="32">
        <f>IF('Visit Log'!C197="","",IF((IF('Visit Log'!AV197="Yes",", Art","")&amp;IF('Visit Log'!AW197="Yes",", Construction","")&amp;IF('Visit Log'!AX197="Yes",", Costumes","")&amp;IF('Visit Log'!AY197="Yes",", Craft Service","")&amp;IF('Visit Log'!AZ197="Yes",", Electrical","")&amp;IF('Visit Log'!BA197="Yes",", Greens","")&amp;IF('Visit Log'!BB197="Yes",", Grip","")&amp;IF('Visit Log'!BC197="Yes",", Locations","")&amp;IF('Visit Log'!BD197="Yes",", Medic","")&amp;IF('Visit Log'!BE197="Yes",", Paint","")&amp;IF('Visit Log'!BF197="Yes",", Plaster","")&amp;IF('Visit Log'!BG197="Yes",", Props","")&amp;IF('Visit Log'!BH197="Yes",", Set Dec","")&amp;IF('Visit Log'!BI197="Yes",", Set Teacher","")&amp;IF('Visit Log'!BJ197="Yes",", Sound","")&amp;IF('Visit Log'!BK197="Yes",", SPFX","")&amp;IF('Visit Log'!BL197="Yes",", Video",""))="","",MID(IF('Visit Log'!AV197="Yes",", Art","")&amp;IF('Visit Log'!AW197="Yes",", Construction","")&amp;IF('Visit Log'!AX197="Yes",", Costumes","")&amp;IF('Visit Log'!AY197="Yes",", Craft Service","")&amp;IF('Visit Log'!AZ197="Yes",", Electrical","")&amp;IF('Visit Log'!BA197="Yes",", Greens","")&amp;IF('Visit Log'!BB197="Yes",", Grip","")&amp;IF('Visit Log'!BC197="Yes",", Locations","")&amp;IF('Visit Log'!BD197="Yes",", Medic","")&amp;IF('Visit Log'!BE197="Yes",", Paint","")&amp;IF('Visit Log'!BF197="Yes",", Plaster","")&amp;IF('Visit Log'!BG197="Yes",", Props","")&amp;IF('Visit Log'!BH197="Yes",", Set Dec","")&amp;IF('Visit Log'!BI197="Yes",", Set Teacher","")&amp;IF('Visit Log'!BJ197="Yes",", Sound","")&amp;IF('Visit Log'!BK197="Yes",", SPFX","")&amp;IF('Visit Log'!BL197="Yes",", Video",""),3,300)))</f>
        <v/>
      </c>
      <c r="F197" s="32">
        <f>IF('Visit Log'!C197="","",'Visit Log'!T197)</f>
        <v/>
      </c>
    </row>
    <row r="198">
      <c r="A198" s="28">
        <f>IF('Visit Log'!C198="","",'Visit Log'!A198)</f>
        <v/>
      </c>
      <c r="B198" s="28">
        <f>IF('Visit Log'!C198="","",'Visit Log'!C198)</f>
        <v/>
      </c>
      <c r="C198" s="28">
        <f>IF('Visit Log'!C198="","",'Visit Log'!D198)</f>
        <v/>
      </c>
      <c r="D198" s="29">
        <f>IF('Visit Log'!C198="","",'Visit Log'!B198)</f>
        <v/>
      </c>
      <c r="E198" s="28">
        <f>IF('Visit Log'!C198="","",IF((IF('Visit Log'!AV198="Yes",", Art","")&amp;IF('Visit Log'!AW198="Yes",", Construction","")&amp;IF('Visit Log'!AX198="Yes",", Costumes","")&amp;IF('Visit Log'!AY198="Yes",", Craft Service","")&amp;IF('Visit Log'!AZ198="Yes",", Electrical","")&amp;IF('Visit Log'!BA198="Yes",", Greens","")&amp;IF('Visit Log'!BB198="Yes",", Grip","")&amp;IF('Visit Log'!BC198="Yes",", Locations","")&amp;IF('Visit Log'!BD198="Yes",", Medic","")&amp;IF('Visit Log'!BE198="Yes",", Paint","")&amp;IF('Visit Log'!BF198="Yes",", Plaster","")&amp;IF('Visit Log'!BG198="Yes",", Props","")&amp;IF('Visit Log'!BH198="Yes",", Set Dec","")&amp;IF('Visit Log'!BI198="Yes",", Set Teacher","")&amp;IF('Visit Log'!BJ198="Yes",", Sound","")&amp;IF('Visit Log'!BK198="Yes",", SPFX","")&amp;IF('Visit Log'!BL198="Yes",", Video",""))="","",MID(IF('Visit Log'!AV198="Yes",", Art","")&amp;IF('Visit Log'!AW198="Yes",", Construction","")&amp;IF('Visit Log'!AX198="Yes",", Costumes","")&amp;IF('Visit Log'!AY198="Yes",", Craft Service","")&amp;IF('Visit Log'!AZ198="Yes",", Electrical","")&amp;IF('Visit Log'!BA198="Yes",", Greens","")&amp;IF('Visit Log'!BB198="Yes",", Grip","")&amp;IF('Visit Log'!BC198="Yes",", Locations","")&amp;IF('Visit Log'!BD198="Yes",", Medic","")&amp;IF('Visit Log'!BE198="Yes",", Paint","")&amp;IF('Visit Log'!BF198="Yes",", Plaster","")&amp;IF('Visit Log'!BG198="Yes",", Props","")&amp;IF('Visit Log'!BH198="Yes",", Set Dec","")&amp;IF('Visit Log'!BI198="Yes",", Set Teacher","")&amp;IF('Visit Log'!BJ198="Yes",", Sound","")&amp;IF('Visit Log'!BK198="Yes",", SPFX","")&amp;IF('Visit Log'!BL198="Yes",", Video",""),3,300)))</f>
        <v/>
      </c>
      <c r="F198" s="28">
        <f>IF('Visit Log'!C198="","",'Visit Log'!T198)</f>
        <v/>
      </c>
    </row>
    <row r="199">
      <c r="A199" s="32">
        <f>IF('Visit Log'!C199="","",'Visit Log'!A199)</f>
        <v/>
      </c>
      <c r="B199" s="32">
        <f>IF('Visit Log'!C199="","",'Visit Log'!C199)</f>
        <v/>
      </c>
      <c r="C199" s="32">
        <f>IF('Visit Log'!C199="","",'Visit Log'!D199)</f>
        <v/>
      </c>
      <c r="D199" s="33">
        <f>IF('Visit Log'!C199="","",'Visit Log'!B199)</f>
        <v/>
      </c>
      <c r="E199" s="32">
        <f>IF('Visit Log'!C199="","",IF((IF('Visit Log'!AV199="Yes",", Art","")&amp;IF('Visit Log'!AW199="Yes",", Construction","")&amp;IF('Visit Log'!AX199="Yes",", Costumes","")&amp;IF('Visit Log'!AY199="Yes",", Craft Service","")&amp;IF('Visit Log'!AZ199="Yes",", Electrical","")&amp;IF('Visit Log'!BA199="Yes",", Greens","")&amp;IF('Visit Log'!BB199="Yes",", Grip","")&amp;IF('Visit Log'!BC199="Yes",", Locations","")&amp;IF('Visit Log'!BD199="Yes",", Medic","")&amp;IF('Visit Log'!BE199="Yes",", Paint","")&amp;IF('Visit Log'!BF199="Yes",", Plaster","")&amp;IF('Visit Log'!BG199="Yes",", Props","")&amp;IF('Visit Log'!BH199="Yes",", Set Dec","")&amp;IF('Visit Log'!BI199="Yes",", Set Teacher","")&amp;IF('Visit Log'!BJ199="Yes",", Sound","")&amp;IF('Visit Log'!BK199="Yes",", SPFX","")&amp;IF('Visit Log'!BL199="Yes",", Video",""))="","",MID(IF('Visit Log'!AV199="Yes",", Art","")&amp;IF('Visit Log'!AW199="Yes",", Construction","")&amp;IF('Visit Log'!AX199="Yes",", Costumes","")&amp;IF('Visit Log'!AY199="Yes",", Craft Service","")&amp;IF('Visit Log'!AZ199="Yes",", Electrical","")&amp;IF('Visit Log'!BA199="Yes",", Greens","")&amp;IF('Visit Log'!BB199="Yes",", Grip","")&amp;IF('Visit Log'!BC199="Yes",", Locations","")&amp;IF('Visit Log'!BD199="Yes",", Medic","")&amp;IF('Visit Log'!BE199="Yes",", Paint","")&amp;IF('Visit Log'!BF199="Yes",", Plaster","")&amp;IF('Visit Log'!BG199="Yes",", Props","")&amp;IF('Visit Log'!BH199="Yes",", Set Dec","")&amp;IF('Visit Log'!BI199="Yes",", Set Teacher","")&amp;IF('Visit Log'!BJ199="Yes",", Sound","")&amp;IF('Visit Log'!BK199="Yes",", SPFX","")&amp;IF('Visit Log'!BL199="Yes",", Video",""),3,300)))</f>
        <v/>
      </c>
      <c r="F199" s="32">
        <f>IF('Visit Log'!C199="","",'Visit Log'!T199)</f>
        <v/>
      </c>
    </row>
    <row r="200">
      <c r="A200" s="28">
        <f>IF('Visit Log'!C200="","",'Visit Log'!A200)</f>
        <v/>
      </c>
      <c r="B200" s="28">
        <f>IF('Visit Log'!C200="","",'Visit Log'!C200)</f>
        <v/>
      </c>
      <c r="C200" s="28">
        <f>IF('Visit Log'!C200="","",'Visit Log'!D200)</f>
        <v/>
      </c>
      <c r="D200" s="29">
        <f>IF('Visit Log'!C200="","",'Visit Log'!B200)</f>
        <v/>
      </c>
      <c r="E200" s="28">
        <f>IF('Visit Log'!C200="","",IF((IF('Visit Log'!AV200="Yes",", Art","")&amp;IF('Visit Log'!AW200="Yes",", Construction","")&amp;IF('Visit Log'!AX200="Yes",", Costumes","")&amp;IF('Visit Log'!AY200="Yes",", Craft Service","")&amp;IF('Visit Log'!AZ200="Yes",", Electrical","")&amp;IF('Visit Log'!BA200="Yes",", Greens","")&amp;IF('Visit Log'!BB200="Yes",", Grip","")&amp;IF('Visit Log'!BC200="Yes",", Locations","")&amp;IF('Visit Log'!BD200="Yes",", Medic","")&amp;IF('Visit Log'!BE200="Yes",", Paint","")&amp;IF('Visit Log'!BF200="Yes",", Plaster","")&amp;IF('Visit Log'!BG200="Yes",", Props","")&amp;IF('Visit Log'!BH200="Yes",", Set Dec","")&amp;IF('Visit Log'!BI200="Yes",", Set Teacher","")&amp;IF('Visit Log'!BJ200="Yes",", Sound","")&amp;IF('Visit Log'!BK200="Yes",", SPFX","")&amp;IF('Visit Log'!BL200="Yes",", Video",""))="","",MID(IF('Visit Log'!AV200="Yes",", Art","")&amp;IF('Visit Log'!AW200="Yes",", Construction","")&amp;IF('Visit Log'!AX200="Yes",", Costumes","")&amp;IF('Visit Log'!AY200="Yes",", Craft Service","")&amp;IF('Visit Log'!AZ200="Yes",", Electrical","")&amp;IF('Visit Log'!BA200="Yes",", Greens","")&amp;IF('Visit Log'!BB200="Yes",", Grip","")&amp;IF('Visit Log'!BC200="Yes",", Locations","")&amp;IF('Visit Log'!BD200="Yes",", Medic","")&amp;IF('Visit Log'!BE200="Yes",", Paint","")&amp;IF('Visit Log'!BF200="Yes",", Plaster","")&amp;IF('Visit Log'!BG200="Yes",", Props","")&amp;IF('Visit Log'!BH200="Yes",", Set Dec","")&amp;IF('Visit Log'!BI200="Yes",", Set Teacher","")&amp;IF('Visit Log'!BJ200="Yes",", Sound","")&amp;IF('Visit Log'!BK200="Yes",", SPFX","")&amp;IF('Visit Log'!BL200="Yes",", Video",""),3,300)))</f>
        <v/>
      </c>
      <c r="F200" s="28">
        <f>IF('Visit Log'!C200="","",'Visit Log'!T200)</f>
        <v/>
      </c>
    </row>
    <row r="201">
      <c r="A201" s="32">
        <f>IF('Visit Log'!C201="","",'Visit Log'!A201)</f>
        <v/>
      </c>
      <c r="B201" s="32">
        <f>IF('Visit Log'!C201="","",'Visit Log'!C201)</f>
        <v/>
      </c>
      <c r="C201" s="32">
        <f>IF('Visit Log'!C201="","",'Visit Log'!D201)</f>
        <v/>
      </c>
      <c r="D201" s="33">
        <f>IF('Visit Log'!C201="","",'Visit Log'!B201)</f>
        <v/>
      </c>
      <c r="E201" s="32">
        <f>IF('Visit Log'!C201="","",IF((IF('Visit Log'!AV201="Yes",", Art","")&amp;IF('Visit Log'!AW201="Yes",", Construction","")&amp;IF('Visit Log'!AX201="Yes",", Costumes","")&amp;IF('Visit Log'!AY201="Yes",", Craft Service","")&amp;IF('Visit Log'!AZ201="Yes",", Electrical","")&amp;IF('Visit Log'!BA201="Yes",", Greens","")&amp;IF('Visit Log'!BB201="Yes",", Grip","")&amp;IF('Visit Log'!BC201="Yes",", Locations","")&amp;IF('Visit Log'!BD201="Yes",", Medic","")&amp;IF('Visit Log'!BE201="Yes",", Paint","")&amp;IF('Visit Log'!BF201="Yes",", Plaster","")&amp;IF('Visit Log'!BG201="Yes",", Props","")&amp;IF('Visit Log'!BH201="Yes",", Set Dec","")&amp;IF('Visit Log'!BI201="Yes",", Set Teacher","")&amp;IF('Visit Log'!BJ201="Yes",", Sound","")&amp;IF('Visit Log'!BK201="Yes",", SPFX","")&amp;IF('Visit Log'!BL201="Yes",", Video",""))="","",MID(IF('Visit Log'!AV201="Yes",", Art","")&amp;IF('Visit Log'!AW201="Yes",", Construction","")&amp;IF('Visit Log'!AX201="Yes",", Costumes","")&amp;IF('Visit Log'!AY201="Yes",", Craft Service","")&amp;IF('Visit Log'!AZ201="Yes",", Electrical","")&amp;IF('Visit Log'!BA201="Yes",", Greens","")&amp;IF('Visit Log'!BB201="Yes",", Grip","")&amp;IF('Visit Log'!BC201="Yes",", Locations","")&amp;IF('Visit Log'!BD201="Yes",", Medic","")&amp;IF('Visit Log'!BE201="Yes",", Paint","")&amp;IF('Visit Log'!BF201="Yes",", Plaster","")&amp;IF('Visit Log'!BG201="Yes",", Props","")&amp;IF('Visit Log'!BH201="Yes",", Set Dec","")&amp;IF('Visit Log'!BI201="Yes",", Set Teacher","")&amp;IF('Visit Log'!BJ201="Yes",", Sound","")&amp;IF('Visit Log'!BK201="Yes",", SPFX","")&amp;IF('Visit Log'!BL201="Yes",", Video",""),3,300)))</f>
        <v/>
      </c>
      <c r="F201" s="32">
        <f>IF('Visit Log'!C201="","",'Visit Log'!T201)</f>
        <v/>
      </c>
    </row>
    <row r="202">
      <c r="A202" s="28">
        <f>IF('Visit Log'!C202="","",'Visit Log'!A202)</f>
        <v/>
      </c>
      <c r="B202" s="28">
        <f>IF('Visit Log'!C202="","",'Visit Log'!C202)</f>
        <v/>
      </c>
      <c r="C202" s="28">
        <f>IF('Visit Log'!C202="","",'Visit Log'!D202)</f>
        <v/>
      </c>
      <c r="D202" s="29">
        <f>IF('Visit Log'!C202="","",'Visit Log'!B202)</f>
        <v/>
      </c>
      <c r="E202" s="28">
        <f>IF('Visit Log'!C202="","",IF((IF('Visit Log'!AV202="Yes",", Art","")&amp;IF('Visit Log'!AW202="Yes",", Construction","")&amp;IF('Visit Log'!AX202="Yes",", Costumes","")&amp;IF('Visit Log'!AY202="Yes",", Craft Service","")&amp;IF('Visit Log'!AZ202="Yes",", Electrical","")&amp;IF('Visit Log'!BA202="Yes",", Greens","")&amp;IF('Visit Log'!BB202="Yes",", Grip","")&amp;IF('Visit Log'!BC202="Yes",", Locations","")&amp;IF('Visit Log'!BD202="Yes",", Medic","")&amp;IF('Visit Log'!BE202="Yes",", Paint","")&amp;IF('Visit Log'!BF202="Yes",", Plaster","")&amp;IF('Visit Log'!BG202="Yes",", Props","")&amp;IF('Visit Log'!BH202="Yes",", Set Dec","")&amp;IF('Visit Log'!BI202="Yes",", Set Teacher","")&amp;IF('Visit Log'!BJ202="Yes",", Sound","")&amp;IF('Visit Log'!BK202="Yes",", SPFX","")&amp;IF('Visit Log'!BL202="Yes",", Video",""))="","",MID(IF('Visit Log'!AV202="Yes",", Art","")&amp;IF('Visit Log'!AW202="Yes",", Construction","")&amp;IF('Visit Log'!AX202="Yes",", Costumes","")&amp;IF('Visit Log'!AY202="Yes",", Craft Service","")&amp;IF('Visit Log'!AZ202="Yes",", Electrical","")&amp;IF('Visit Log'!BA202="Yes",", Greens","")&amp;IF('Visit Log'!BB202="Yes",", Grip","")&amp;IF('Visit Log'!BC202="Yes",", Locations","")&amp;IF('Visit Log'!BD202="Yes",", Medic","")&amp;IF('Visit Log'!BE202="Yes",", Paint","")&amp;IF('Visit Log'!BF202="Yes",", Plaster","")&amp;IF('Visit Log'!BG202="Yes",", Props","")&amp;IF('Visit Log'!BH202="Yes",", Set Dec","")&amp;IF('Visit Log'!BI202="Yes",", Set Teacher","")&amp;IF('Visit Log'!BJ202="Yes",", Sound","")&amp;IF('Visit Log'!BK202="Yes",", SPFX","")&amp;IF('Visit Log'!BL202="Yes",", Video",""),3,300)))</f>
        <v/>
      </c>
      <c r="F202" s="28">
        <f>IF('Visit Log'!C202="","",'Visit Log'!T202)</f>
        <v/>
      </c>
    </row>
    <row r="203">
      <c r="A203" s="32">
        <f>IF('Visit Log'!C203="","",'Visit Log'!A203)</f>
        <v/>
      </c>
      <c r="B203" s="32">
        <f>IF('Visit Log'!C203="","",'Visit Log'!C203)</f>
        <v/>
      </c>
      <c r="C203" s="32">
        <f>IF('Visit Log'!C203="","",'Visit Log'!D203)</f>
        <v/>
      </c>
      <c r="D203" s="33">
        <f>IF('Visit Log'!C203="","",'Visit Log'!B203)</f>
        <v/>
      </c>
      <c r="E203" s="32">
        <f>IF('Visit Log'!C203="","",IF((IF('Visit Log'!AV203="Yes",", Art","")&amp;IF('Visit Log'!AW203="Yes",", Construction","")&amp;IF('Visit Log'!AX203="Yes",", Costumes","")&amp;IF('Visit Log'!AY203="Yes",", Craft Service","")&amp;IF('Visit Log'!AZ203="Yes",", Electrical","")&amp;IF('Visit Log'!BA203="Yes",", Greens","")&amp;IF('Visit Log'!BB203="Yes",", Grip","")&amp;IF('Visit Log'!BC203="Yes",", Locations","")&amp;IF('Visit Log'!BD203="Yes",", Medic","")&amp;IF('Visit Log'!BE203="Yes",", Paint","")&amp;IF('Visit Log'!BF203="Yes",", Plaster","")&amp;IF('Visit Log'!BG203="Yes",", Props","")&amp;IF('Visit Log'!BH203="Yes",", Set Dec","")&amp;IF('Visit Log'!BI203="Yes",", Set Teacher","")&amp;IF('Visit Log'!BJ203="Yes",", Sound","")&amp;IF('Visit Log'!BK203="Yes",", SPFX","")&amp;IF('Visit Log'!BL203="Yes",", Video",""))="","",MID(IF('Visit Log'!AV203="Yes",", Art","")&amp;IF('Visit Log'!AW203="Yes",", Construction","")&amp;IF('Visit Log'!AX203="Yes",", Costumes","")&amp;IF('Visit Log'!AY203="Yes",", Craft Service","")&amp;IF('Visit Log'!AZ203="Yes",", Electrical","")&amp;IF('Visit Log'!BA203="Yes",", Greens","")&amp;IF('Visit Log'!BB203="Yes",", Grip","")&amp;IF('Visit Log'!BC203="Yes",", Locations","")&amp;IF('Visit Log'!BD203="Yes",", Medic","")&amp;IF('Visit Log'!BE203="Yes",", Paint","")&amp;IF('Visit Log'!BF203="Yes",", Plaster","")&amp;IF('Visit Log'!BG203="Yes",", Props","")&amp;IF('Visit Log'!BH203="Yes",", Set Dec","")&amp;IF('Visit Log'!BI203="Yes",", Set Teacher","")&amp;IF('Visit Log'!BJ203="Yes",", Sound","")&amp;IF('Visit Log'!BK203="Yes",", SPFX","")&amp;IF('Visit Log'!BL203="Yes",", Video",""),3,300)))</f>
        <v/>
      </c>
      <c r="F203" s="32">
        <f>IF('Visit Log'!C203="","",'Visit Log'!T203)</f>
        <v/>
      </c>
    </row>
    <row r="204">
      <c r="A204" s="28">
        <f>IF('Visit Log'!C204="","",'Visit Log'!A204)</f>
        <v/>
      </c>
      <c r="B204" s="28">
        <f>IF('Visit Log'!C204="","",'Visit Log'!C204)</f>
        <v/>
      </c>
      <c r="C204" s="28">
        <f>IF('Visit Log'!C204="","",'Visit Log'!D204)</f>
        <v/>
      </c>
      <c r="D204" s="29">
        <f>IF('Visit Log'!C204="","",'Visit Log'!B204)</f>
        <v/>
      </c>
      <c r="E204" s="28">
        <f>IF('Visit Log'!C204="","",IF((IF('Visit Log'!AV204="Yes",", Art","")&amp;IF('Visit Log'!AW204="Yes",", Construction","")&amp;IF('Visit Log'!AX204="Yes",", Costumes","")&amp;IF('Visit Log'!AY204="Yes",", Craft Service","")&amp;IF('Visit Log'!AZ204="Yes",", Electrical","")&amp;IF('Visit Log'!BA204="Yes",", Greens","")&amp;IF('Visit Log'!BB204="Yes",", Grip","")&amp;IF('Visit Log'!BC204="Yes",", Locations","")&amp;IF('Visit Log'!BD204="Yes",", Medic","")&amp;IF('Visit Log'!BE204="Yes",", Paint","")&amp;IF('Visit Log'!BF204="Yes",", Plaster","")&amp;IF('Visit Log'!BG204="Yes",", Props","")&amp;IF('Visit Log'!BH204="Yes",", Set Dec","")&amp;IF('Visit Log'!BI204="Yes",", Set Teacher","")&amp;IF('Visit Log'!BJ204="Yes",", Sound","")&amp;IF('Visit Log'!BK204="Yes",", SPFX","")&amp;IF('Visit Log'!BL204="Yes",", Video",""))="","",MID(IF('Visit Log'!AV204="Yes",", Art","")&amp;IF('Visit Log'!AW204="Yes",", Construction","")&amp;IF('Visit Log'!AX204="Yes",", Costumes","")&amp;IF('Visit Log'!AY204="Yes",", Craft Service","")&amp;IF('Visit Log'!AZ204="Yes",", Electrical","")&amp;IF('Visit Log'!BA204="Yes",", Greens","")&amp;IF('Visit Log'!BB204="Yes",", Grip","")&amp;IF('Visit Log'!BC204="Yes",", Locations","")&amp;IF('Visit Log'!BD204="Yes",", Medic","")&amp;IF('Visit Log'!BE204="Yes",", Paint","")&amp;IF('Visit Log'!BF204="Yes",", Plaster","")&amp;IF('Visit Log'!BG204="Yes",", Props","")&amp;IF('Visit Log'!BH204="Yes",", Set Dec","")&amp;IF('Visit Log'!BI204="Yes",", Set Teacher","")&amp;IF('Visit Log'!BJ204="Yes",", Sound","")&amp;IF('Visit Log'!BK204="Yes",", SPFX","")&amp;IF('Visit Log'!BL204="Yes",", Video",""),3,300)))</f>
        <v/>
      </c>
      <c r="F204" s="28">
        <f>IF('Visit Log'!C204="","",'Visit Log'!T204)</f>
        <v/>
      </c>
    </row>
    <row r="205">
      <c r="A205" s="32">
        <f>IF('Visit Log'!C205="","",'Visit Log'!A205)</f>
        <v/>
      </c>
      <c r="B205" s="32">
        <f>IF('Visit Log'!C205="","",'Visit Log'!C205)</f>
        <v/>
      </c>
      <c r="C205" s="32">
        <f>IF('Visit Log'!C205="","",'Visit Log'!D205)</f>
        <v/>
      </c>
      <c r="D205" s="33">
        <f>IF('Visit Log'!C205="","",'Visit Log'!B205)</f>
        <v/>
      </c>
      <c r="E205" s="32">
        <f>IF('Visit Log'!C205="","",IF((IF('Visit Log'!AV205="Yes",", Art","")&amp;IF('Visit Log'!AW205="Yes",", Construction","")&amp;IF('Visit Log'!AX205="Yes",", Costumes","")&amp;IF('Visit Log'!AY205="Yes",", Craft Service","")&amp;IF('Visit Log'!AZ205="Yes",", Electrical","")&amp;IF('Visit Log'!BA205="Yes",", Greens","")&amp;IF('Visit Log'!BB205="Yes",", Grip","")&amp;IF('Visit Log'!BC205="Yes",", Locations","")&amp;IF('Visit Log'!BD205="Yes",", Medic","")&amp;IF('Visit Log'!BE205="Yes",", Paint","")&amp;IF('Visit Log'!BF205="Yes",", Plaster","")&amp;IF('Visit Log'!BG205="Yes",", Props","")&amp;IF('Visit Log'!BH205="Yes",", Set Dec","")&amp;IF('Visit Log'!BI205="Yes",", Set Teacher","")&amp;IF('Visit Log'!BJ205="Yes",", Sound","")&amp;IF('Visit Log'!BK205="Yes",", SPFX","")&amp;IF('Visit Log'!BL205="Yes",", Video",""))="","",MID(IF('Visit Log'!AV205="Yes",", Art","")&amp;IF('Visit Log'!AW205="Yes",", Construction","")&amp;IF('Visit Log'!AX205="Yes",", Costumes","")&amp;IF('Visit Log'!AY205="Yes",", Craft Service","")&amp;IF('Visit Log'!AZ205="Yes",", Electrical","")&amp;IF('Visit Log'!BA205="Yes",", Greens","")&amp;IF('Visit Log'!BB205="Yes",", Grip","")&amp;IF('Visit Log'!BC205="Yes",", Locations","")&amp;IF('Visit Log'!BD205="Yes",", Medic","")&amp;IF('Visit Log'!BE205="Yes",", Paint","")&amp;IF('Visit Log'!BF205="Yes",", Plaster","")&amp;IF('Visit Log'!BG205="Yes",", Props","")&amp;IF('Visit Log'!BH205="Yes",", Set Dec","")&amp;IF('Visit Log'!BI205="Yes",", Set Teacher","")&amp;IF('Visit Log'!BJ205="Yes",", Sound","")&amp;IF('Visit Log'!BK205="Yes",", SPFX","")&amp;IF('Visit Log'!BL205="Yes",", Video",""),3,300)))</f>
        <v/>
      </c>
      <c r="F205" s="32">
        <f>IF('Visit Log'!C205="","",'Visit Log'!T205)</f>
        <v/>
      </c>
    </row>
    <row r="206">
      <c r="A206" s="28">
        <f>IF('Visit Log'!C206="","",'Visit Log'!A206)</f>
        <v/>
      </c>
      <c r="B206" s="28">
        <f>IF('Visit Log'!C206="","",'Visit Log'!C206)</f>
        <v/>
      </c>
      <c r="C206" s="28">
        <f>IF('Visit Log'!C206="","",'Visit Log'!D206)</f>
        <v/>
      </c>
      <c r="D206" s="29">
        <f>IF('Visit Log'!C206="","",'Visit Log'!B206)</f>
        <v/>
      </c>
      <c r="E206" s="28">
        <f>IF('Visit Log'!C206="","",IF((IF('Visit Log'!AV206="Yes",", Art","")&amp;IF('Visit Log'!AW206="Yes",", Construction","")&amp;IF('Visit Log'!AX206="Yes",", Costumes","")&amp;IF('Visit Log'!AY206="Yes",", Craft Service","")&amp;IF('Visit Log'!AZ206="Yes",", Electrical","")&amp;IF('Visit Log'!BA206="Yes",", Greens","")&amp;IF('Visit Log'!BB206="Yes",", Grip","")&amp;IF('Visit Log'!BC206="Yes",", Locations","")&amp;IF('Visit Log'!BD206="Yes",", Medic","")&amp;IF('Visit Log'!BE206="Yes",", Paint","")&amp;IF('Visit Log'!BF206="Yes",", Plaster","")&amp;IF('Visit Log'!BG206="Yes",", Props","")&amp;IF('Visit Log'!BH206="Yes",", Set Dec","")&amp;IF('Visit Log'!BI206="Yes",", Set Teacher","")&amp;IF('Visit Log'!BJ206="Yes",", Sound","")&amp;IF('Visit Log'!BK206="Yes",", SPFX","")&amp;IF('Visit Log'!BL206="Yes",", Video",""))="","",MID(IF('Visit Log'!AV206="Yes",", Art","")&amp;IF('Visit Log'!AW206="Yes",", Construction","")&amp;IF('Visit Log'!AX206="Yes",", Costumes","")&amp;IF('Visit Log'!AY206="Yes",", Craft Service","")&amp;IF('Visit Log'!AZ206="Yes",", Electrical","")&amp;IF('Visit Log'!BA206="Yes",", Greens","")&amp;IF('Visit Log'!BB206="Yes",", Grip","")&amp;IF('Visit Log'!BC206="Yes",", Locations","")&amp;IF('Visit Log'!BD206="Yes",", Medic","")&amp;IF('Visit Log'!BE206="Yes",", Paint","")&amp;IF('Visit Log'!BF206="Yes",", Plaster","")&amp;IF('Visit Log'!BG206="Yes",", Props","")&amp;IF('Visit Log'!BH206="Yes",", Set Dec","")&amp;IF('Visit Log'!BI206="Yes",", Set Teacher","")&amp;IF('Visit Log'!BJ206="Yes",", Sound","")&amp;IF('Visit Log'!BK206="Yes",", SPFX","")&amp;IF('Visit Log'!BL206="Yes",", Video",""),3,300)))</f>
        <v/>
      </c>
      <c r="F206" s="28">
        <f>IF('Visit Log'!C206="","",'Visit Log'!T206)</f>
        <v/>
      </c>
    </row>
    <row r="207">
      <c r="A207" s="32">
        <f>IF('Visit Log'!C207="","",'Visit Log'!A207)</f>
        <v/>
      </c>
      <c r="B207" s="32">
        <f>IF('Visit Log'!C207="","",'Visit Log'!C207)</f>
        <v/>
      </c>
      <c r="C207" s="32">
        <f>IF('Visit Log'!C207="","",'Visit Log'!D207)</f>
        <v/>
      </c>
      <c r="D207" s="33">
        <f>IF('Visit Log'!C207="","",'Visit Log'!B207)</f>
        <v/>
      </c>
      <c r="E207" s="32">
        <f>IF('Visit Log'!C207="","",IF((IF('Visit Log'!AV207="Yes",", Art","")&amp;IF('Visit Log'!AW207="Yes",", Construction","")&amp;IF('Visit Log'!AX207="Yes",", Costumes","")&amp;IF('Visit Log'!AY207="Yes",", Craft Service","")&amp;IF('Visit Log'!AZ207="Yes",", Electrical","")&amp;IF('Visit Log'!BA207="Yes",", Greens","")&amp;IF('Visit Log'!BB207="Yes",", Grip","")&amp;IF('Visit Log'!BC207="Yes",", Locations","")&amp;IF('Visit Log'!BD207="Yes",", Medic","")&amp;IF('Visit Log'!BE207="Yes",", Paint","")&amp;IF('Visit Log'!BF207="Yes",", Plaster","")&amp;IF('Visit Log'!BG207="Yes",", Props","")&amp;IF('Visit Log'!BH207="Yes",", Set Dec","")&amp;IF('Visit Log'!BI207="Yes",", Set Teacher","")&amp;IF('Visit Log'!BJ207="Yes",", Sound","")&amp;IF('Visit Log'!BK207="Yes",", SPFX","")&amp;IF('Visit Log'!BL207="Yes",", Video",""))="","",MID(IF('Visit Log'!AV207="Yes",", Art","")&amp;IF('Visit Log'!AW207="Yes",", Construction","")&amp;IF('Visit Log'!AX207="Yes",", Costumes","")&amp;IF('Visit Log'!AY207="Yes",", Craft Service","")&amp;IF('Visit Log'!AZ207="Yes",", Electrical","")&amp;IF('Visit Log'!BA207="Yes",", Greens","")&amp;IF('Visit Log'!BB207="Yes",", Grip","")&amp;IF('Visit Log'!BC207="Yes",", Locations","")&amp;IF('Visit Log'!BD207="Yes",", Medic","")&amp;IF('Visit Log'!BE207="Yes",", Paint","")&amp;IF('Visit Log'!BF207="Yes",", Plaster","")&amp;IF('Visit Log'!BG207="Yes",", Props","")&amp;IF('Visit Log'!BH207="Yes",", Set Dec","")&amp;IF('Visit Log'!BI207="Yes",", Set Teacher","")&amp;IF('Visit Log'!BJ207="Yes",", Sound","")&amp;IF('Visit Log'!BK207="Yes",", SPFX","")&amp;IF('Visit Log'!BL207="Yes",", Video",""),3,300)))</f>
        <v/>
      </c>
      <c r="F207" s="32">
        <f>IF('Visit Log'!C207="","",'Visit Log'!T207)</f>
        <v/>
      </c>
    </row>
    <row r="208">
      <c r="A208" s="28">
        <f>IF('Visit Log'!C208="","",'Visit Log'!A208)</f>
        <v/>
      </c>
      <c r="B208" s="28">
        <f>IF('Visit Log'!C208="","",'Visit Log'!C208)</f>
        <v/>
      </c>
      <c r="C208" s="28">
        <f>IF('Visit Log'!C208="","",'Visit Log'!D208)</f>
        <v/>
      </c>
      <c r="D208" s="29">
        <f>IF('Visit Log'!C208="","",'Visit Log'!B208)</f>
        <v/>
      </c>
      <c r="E208" s="28">
        <f>IF('Visit Log'!C208="","",IF((IF('Visit Log'!AV208="Yes",", Art","")&amp;IF('Visit Log'!AW208="Yes",", Construction","")&amp;IF('Visit Log'!AX208="Yes",", Costumes","")&amp;IF('Visit Log'!AY208="Yes",", Craft Service","")&amp;IF('Visit Log'!AZ208="Yes",", Electrical","")&amp;IF('Visit Log'!BA208="Yes",", Greens","")&amp;IF('Visit Log'!BB208="Yes",", Grip","")&amp;IF('Visit Log'!BC208="Yes",", Locations","")&amp;IF('Visit Log'!BD208="Yes",", Medic","")&amp;IF('Visit Log'!BE208="Yes",", Paint","")&amp;IF('Visit Log'!BF208="Yes",", Plaster","")&amp;IF('Visit Log'!BG208="Yes",", Props","")&amp;IF('Visit Log'!BH208="Yes",", Set Dec","")&amp;IF('Visit Log'!BI208="Yes",", Set Teacher","")&amp;IF('Visit Log'!BJ208="Yes",", Sound","")&amp;IF('Visit Log'!BK208="Yes",", SPFX","")&amp;IF('Visit Log'!BL208="Yes",", Video",""))="","",MID(IF('Visit Log'!AV208="Yes",", Art","")&amp;IF('Visit Log'!AW208="Yes",", Construction","")&amp;IF('Visit Log'!AX208="Yes",", Costumes","")&amp;IF('Visit Log'!AY208="Yes",", Craft Service","")&amp;IF('Visit Log'!AZ208="Yes",", Electrical","")&amp;IF('Visit Log'!BA208="Yes",", Greens","")&amp;IF('Visit Log'!BB208="Yes",", Grip","")&amp;IF('Visit Log'!BC208="Yes",", Locations","")&amp;IF('Visit Log'!BD208="Yes",", Medic","")&amp;IF('Visit Log'!BE208="Yes",", Paint","")&amp;IF('Visit Log'!BF208="Yes",", Plaster","")&amp;IF('Visit Log'!BG208="Yes",", Props","")&amp;IF('Visit Log'!BH208="Yes",", Set Dec","")&amp;IF('Visit Log'!BI208="Yes",", Set Teacher","")&amp;IF('Visit Log'!BJ208="Yes",", Sound","")&amp;IF('Visit Log'!BK208="Yes",", SPFX","")&amp;IF('Visit Log'!BL208="Yes",", Video",""),3,300)))</f>
        <v/>
      </c>
      <c r="F208" s="28">
        <f>IF('Visit Log'!C208="","",'Visit Log'!T208)</f>
        <v/>
      </c>
    </row>
    <row r="209">
      <c r="A209" s="32">
        <f>IF('Visit Log'!C209="","",'Visit Log'!A209)</f>
        <v/>
      </c>
      <c r="B209" s="32">
        <f>IF('Visit Log'!C209="","",'Visit Log'!C209)</f>
        <v/>
      </c>
      <c r="C209" s="32">
        <f>IF('Visit Log'!C209="","",'Visit Log'!D209)</f>
        <v/>
      </c>
      <c r="D209" s="33">
        <f>IF('Visit Log'!C209="","",'Visit Log'!B209)</f>
        <v/>
      </c>
      <c r="E209" s="32">
        <f>IF('Visit Log'!C209="","",IF((IF('Visit Log'!AV209="Yes",", Art","")&amp;IF('Visit Log'!AW209="Yes",", Construction","")&amp;IF('Visit Log'!AX209="Yes",", Costumes","")&amp;IF('Visit Log'!AY209="Yes",", Craft Service","")&amp;IF('Visit Log'!AZ209="Yes",", Electrical","")&amp;IF('Visit Log'!BA209="Yes",", Greens","")&amp;IF('Visit Log'!BB209="Yes",", Grip","")&amp;IF('Visit Log'!BC209="Yes",", Locations","")&amp;IF('Visit Log'!BD209="Yes",", Medic","")&amp;IF('Visit Log'!BE209="Yes",", Paint","")&amp;IF('Visit Log'!BF209="Yes",", Plaster","")&amp;IF('Visit Log'!BG209="Yes",", Props","")&amp;IF('Visit Log'!BH209="Yes",", Set Dec","")&amp;IF('Visit Log'!BI209="Yes",", Set Teacher","")&amp;IF('Visit Log'!BJ209="Yes",", Sound","")&amp;IF('Visit Log'!BK209="Yes",", SPFX","")&amp;IF('Visit Log'!BL209="Yes",", Video",""))="","",MID(IF('Visit Log'!AV209="Yes",", Art","")&amp;IF('Visit Log'!AW209="Yes",", Construction","")&amp;IF('Visit Log'!AX209="Yes",", Costumes","")&amp;IF('Visit Log'!AY209="Yes",", Craft Service","")&amp;IF('Visit Log'!AZ209="Yes",", Electrical","")&amp;IF('Visit Log'!BA209="Yes",", Greens","")&amp;IF('Visit Log'!BB209="Yes",", Grip","")&amp;IF('Visit Log'!BC209="Yes",", Locations","")&amp;IF('Visit Log'!BD209="Yes",", Medic","")&amp;IF('Visit Log'!BE209="Yes",", Paint","")&amp;IF('Visit Log'!BF209="Yes",", Plaster","")&amp;IF('Visit Log'!BG209="Yes",", Props","")&amp;IF('Visit Log'!BH209="Yes",", Set Dec","")&amp;IF('Visit Log'!BI209="Yes",", Set Teacher","")&amp;IF('Visit Log'!BJ209="Yes",", Sound","")&amp;IF('Visit Log'!BK209="Yes",", SPFX","")&amp;IF('Visit Log'!BL209="Yes",", Video",""),3,300)))</f>
        <v/>
      </c>
      <c r="F209" s="32">
        <f>IF('Visit Log'!C209="","",'Visit Log'!T209)</f>
        <v/>
      </c>
    </row>
    <row r="210">
      <c r="A210" s="28">
        <f>IF('Visit Log'!C210="","",'Visit Log'!A210)</f>
        <v/>
      </c>
      <c r="B210" s="28">
        <f>IF('Visit Log'!C210="","",'Visit Log'!C210)</f>
        <v/>
      </c>
      <c r="C210" s="28">
        <f>IF('Visit Log'!C210="","",'Visit Log'!D210)</f>
        <v/>
      </c>
      <c r="D210" s="29">
        <f>IF('Visit Log'!C210="","",'Visit Log'!B210)</f>
        <v/>
      </c>
      <c r="E210" s="28">
        <f>IF('Visit Log'!C210="","",IF((IF('Visit Log'!AV210="Yes",", Art","")&amp;IF('Visit Log'!AW210="Yes",", Construction","")&amp;IF('Visit Log'!AX210="Yes",", Costumes","")&amp;IF('Visit Log'!AY210="Yes",", Craft Service","")&amp;IF('Visit Log'!AZ210="Yes",", Electrical","")&amp;IF('Visit Log'!BA210="Yes",", Greens","")&amp;IF('Visit Log'!BB210="Yes",", Grip","")&amp;IF('Visit Log'!BC210="Yes",", Locations","")&amp;IF('Visit Log'!BD210="Yes",", Medic","")&amp;IF('Visit Log'!BE210="Yes",", Paint","")&amp;IF('Visit Log'!BF210="Yes",", Plaster","")&amp;IF('Visit Log'!BG210="Yes",", Props","")&amp;IF('Visit Log'!BH210="Yes",", Set Dec","")&amp;IF('Visit Log'!BI210="Yes",", Set Teacher","")&amp;IF('Visit Log'!BJ210="Yes",", Sound","")&amp;IF('Visit Log'!BK210="Yes",", SPFX","")&amp;IF('Visit Log'!BL210="Yes",", Video",""))="","",MID(IF('Visit Log'!AV210="Yes",", Art","")&amp;IF('Visit Log'!AW210="Yes",", Construction","")&amp;IF('Visit Log'!AX210="Yes",", Costumes","")&amp;IF('Visit Log'!AY210="Yes",", Craft Service","")&amp;IF('Visit Log'!AZ210="Yes",", Electrical","")&amp;IF('Visit Log'!BA210="Yes",", Greens","")&amp;IF('Visit Log'!BB210="Yes",", Grip","")&amp;IF('Visit Log'!BC210="Yes",", Locations","")&amp;IF('Visit Log'!BD210="Yes",", Medic","")&amp;IF('Visit Log'!BE210="Yes",", Paint","")&amp;IF('Visit Log'!BF210="Yes",", Plaster","")&amp;IF('Visit Log'!BG210="Yes",", Props","")&amp;IF('Visit Log'!BH210="Yes",", Set Dec","")&amp;IF('Visit Log'!BI210="Yes",", Set Teacher","")&amp;IF('Visit Log'!BJ210="Yes",", Sound","")&amp;IF('Visit Log'!BK210="Yes",", SPFX","")&amp;IF('Visit Log'!BL210="Yes",", Video",""),3,300)))</f>
        <v/>
      </c>
      <c r="F210" s="28">
        <f>IF('Visit Log'!C210="","",'Visit Log'!T210)</f>
        <v/>
      </c>
    </row>
    <row r="211">
      <c r="A211" s="32">
        <f>IF('Visit Log'!C211="","",'Visit Log'!A211)</f>
        <v/>
      </c>
      <c r="B211" s="32">
        <f>IF('Visit Log'!C211="","",'Visit Log'!C211)</f>
        <v/>
      </c>
      <c r="C211" s="32">
        <f>IF('Visit Log'!C211="","",'Visit Log'!D211)</f>
        <v/>
      </c>
      <c r="D211" s="33">
        <f>IF('Visit Log'!C211="","",'Visit Log'!B211)</f>
        <v/>
      </c>
      <c r="E211" s="32">
        <f>IF('Visit Log'!C211="","",IF((IF('Visit Log'!AV211="Yes",", Art","")&amp;IF('Visit Log'!AW211="Yes",", Construction","")&amp;IF('Visit Log'!AX211="Yes",", Costumes","")&amp;IF('Visit Log'!AY211="Yes",", Craft Service","")&amp;IF('Visit Log'!AZ211="Yes",", Electrical","")&amp;IF('Visit Log'!BA211="Yes",", Greens","")&amp;IF('Visit Log'!BB211="Yes",", Grip","")&amp;IF('Visit Log'!BC211="Yes",", Locations","")&amp;IF('Visit Log'!BD211="Yes",", Medic","")&amp;IF('Visit Log'!BE211="Yes",", Paint","")&amp;IF('Visit Log'!BF211="Yes",", Plaster","")&amp;IF('Visit Log'!BG211="Yes",", Props","")&amp;IF('Visit Log'!BH211="Yes",", Set Dec","")&amp;IF('Visit Log'!BI211="Yes",", Set Teacher","")&amp;IF('Visit Log'!BJ211="Yes",", Sound","")&amp;IF('Visit Log'!BK211="Yes",", SPFX","")&amp;IF('Visit Log'!BL211="Yes",", Video",""))="","",MID(IF('Visit Log'!AV211="Yes",", Art","")&amp;IF('Visit Log'!AW211="Yes",", Construction","")&amp;IF('Visit Log'!AX211="Yes",", Costumes","")&amp;IF('Visit Log'!AY211="Yes",", Craft Service","")&amp;IF('Visit Log'!AZ211="Yes",", Electrical","")&amp;IF('Visit Log'!BA211="Yes",", Greens","")&amp;IF('Visit Log'!BB211="Yes",", Grip","")&amp;IF('Visit Log'!BC211="Yes",", Locations","")&amp;IF('Visit Log'!BD211="Yes",", Medic","")&amp;IF('Visit Log'!BE211="Yes",", Paint","")&amp;IF('Visit Log'!BF211="Yes",", Plaster","")&amp;IF('Visit Log'!BG211="Yes",", Props","")&amp;IF('Visit Log'!BH211="Yes",", Set Dec","")&amp;IF('Visit Log'!BI211="Yes",", Set Teacher","")&amp;IF('Visit Log'!BJ211="Yes",", Sound","")&amp;IF('Visit Log'!BK211="Yes",", SPFX","")&amp;IF('Visit Log'!BL211="Yes",", Video",""),3,300)))</f>
        <v/>
      </c>
      <c r="F211" s="32">
        <f>IF('Visit Log'!C211="","",'Visit Log'!T211)</f>
        <v/>
      </c>
    </row>
    <row r="212">
      <c r="A212" s="28">
        <f>IF('Visit Log'!C212="","",'Visit Log'!A212)</f>
        <v/>
      </c>
      <c r="B212" s="28">
        <f>IF('Visit Log'!C212="","",'Visit Log'!C212)</f>
        <v/>
      </c>
      <c r="C212" s="28">
        <f>IF('Visit Log'!C212="","",'Visit Log'!D212)</f>
        <v/>
      </c>
      <c r="D212" s="29">
        <f>IF('Visit Log'!C212="","",'Visit Log'!B212)</f>
        <v/>
      </c>
      <c r="E212" s="28">
        <f>IF('Visit Log'!C212="","",IF((IF('Visit Log'!AV212="Yes",", Art","")&amp;IF('Visit Log'!AW212="Yes",", Construction","")&amp;IF('Visit Log'!AX212="Yes",", Costumes","")&amp;IF('Visit Log'!AY212="Yes",", Craft Service","")&amp;IF('Visit Log'!AZ212="Yes",", Electrical","")&amp;IF('Visit Log'!BA212="Yes",", Greens","")&amp;IF('Visit Log'!BB212="Yes",", Grip","")&amp;IF('Visit Log'!BC212="Yes",", Locations","")&amp;IF('Visit Log'!BD212="Yes",", Medic","")&amp;IF('Visit Log'!BE212="Yes",", Paint","")&amp;IF('Visit Log'!BF212="Yes",", Plaster","")&amp;IF('Visit Log'!BG212="Yes",", Props","")&amp;IF('Visit Log'!BH212="Yes",", Set Dec","")&amp;IF('Visit Log'!BI212="Yes",", Set Teacher","")&amp;IF('Visit Log'!BJ212="Yes",", Sound","")&amp;IF('Visit Log'!BK212="Yes",", SPFX","")&amp;IF('Visit Log'!BL212="Yes",", Video",""))="","",MID(IF('Visit Log'!AV212="Yes",", Art","")&amp;IF('Visit Log'!AW212="Yes",", Construction","")&amp;IF('Visit Log'!AX212="Yes",", Costumes","")&amp;IF('Visit Log'!AY212="Yes",", Craft Service","")&amp;IF('Visit Log'!AZ212="Yes",", Electrical","")&amp;IF('Visit Log'!BA212="Yes",", Greens","")&amp;IF('Visit Log'!BB212="Yes",", Grip","")&amp;IF('Visit Log'!BC212="Yes",", Locations","")&amp;IF('Visit Log'!BD212="Yes",", Medic","")&amp;IF('Visit Log'!BE212="Yes",", Paint","")&amp;IF('Visit Log'!BF212="Yes",", Plaster","")&amp;IF('Visit Log'!BG212="Yes",", Props","")&amp;IF('Visit Log'!BH212="Yes",", Set Dec","")&amp;IF('Visit Log'!BI212="Yes",", Set Teacher","")&amp;IF('Visit Log'!BJ212="Yes",", Sound","")&amp;IF('Visit Log'!BK212="Yes",", SPFX","")&amp;IF('Visit Log'!BL212="Yes",", Video",""),3,300)))</f>
        <v/>
      </c>
      <c r="F212" s="28">
        <f>IF('Visit Log'!C212="","",'Visit Log'!T212)</f>
        <v/>
      </c>
    </row>
    <row r="213">
      <c r="A213" s="32">
        <f>IF('Visit Log'!C213="","",'Visit Log'!A213)</f>
        <v/>
      </c>
      <c r="B213" s="32">
        <f>IF('Visit Log'!C213="","",'Visit Log'!C213)</f>
        <v/>
      </c>
      <c r="C213" s="32">
        <f>IF('Visit Log'!C213="","",'Visit Log'!D213)</f>
        <v/>
      </c>
      <c r="D213" s="33">
        <f>IF('Visit Log'!C213="","",'Visit Log'!B213)</f>
        <v/>
      </c>
      <c r="E213" s="32">
        <f>IF('Visit Log'!C213="","",IF((IF('Visit Log'!AV213="Yes",", Art","")&amp;IF('Visit Log'!AW213="Yes",", Construction","")&amp;IF('Visit Log'!AX213="Yes",", Costumes","")&amp;IF('Visit Log'!AY213="Yes",", Craft Service","")&amp;IF('Visit Log'!AZ213="Yes",", Electrical","")&amp;IF('Visit Log'!BA213="Yes",", Greens","")&amp;IF('Visit Log'!BB213="Yes",", Grip","")&amp;IF('Visit Log'!BC213="Yes",", Locations","")&amp;IF('Visit Log'!BD213="Yes",", Medic","")&amp;IF('Visit Log'!BE213="Yes",", Paint","")&amp;IF('Visit Log'!BF213="Yes",", Plaster","")&amp;IF('Visit Log'!BG213="Yes",", Props","")&amp;IF('Visit Log'!BH213="Yes",", Set Dec","")&amp;IF('Visit Log'!BI213="Yes",", Set Teacher","")&amp;IF('Visit Log'!BJ213="Yes",", Sound","")&amp;IF('Visit Log'!BK213="Yes",", SPFX","")&amp;IF('Visit Log'!BL213="Yes",", Video",""))="","",MID(IF('Visit Log'!AV213="Yes",", Art","")&amp;IF('Visit Log'!AW213="Yes",", Construction","")&amp;IF('Visit Log'!AX213="Yes",", Costumes","")&amp;IF('Visit Log'!AY213="Yes",", Craft Service","")&amp;IF('Visit Log'!AZ213="Yes",", Electrical","")&amp;IF('Visit Log'!BA213="Yes",", Greens","")&amp;IF('Visit Log'!BB213="Yes",", Grip","")&amp;IF('Visit Log'!BC213="Yes",", Locations","")&amp;IF('Visit Log'!BD213="Yes",", Medic","")&amp;IF('Visit Log'!BE213="Yes",", Paint","")&amp;IF('Visit Log'!BF213="Yes",", Plaster","")&amp;IF('Visit Log'!BG213="Yes",", Props","")&amp;IF('Visit Log'!BH213="Yes",", Set Dec","")&amp;IF('Visit Log'!BI213="Yes",", Set Teacher","")&amp;IF('Visit Log'!BJ213="Yes",", Sound","")&amp;IF('Visit Log'!BK213="Yes",", SPFX","")&amp;IF('Visit Log'!BL213="Yes",", Video",""),3,300)))</f>
        <v/>
      </c>
      <c r="F213" s="32">
        <f>IF('Visit Log'!C213="","",'Visit Log'!T213)</f>
        <v/>
      </c>
    </row>
    <row r="214">
      <c r="A214" s="28">
        <f>IF('Visit Log'!C214="","",'Visit Log'!A214)</f>
        <v/>
      </c>
      <c r="B214" s="28">
        <f>IF('Visit Log'!C214="","",'Visit Log'!C214)</f>
        <v/>
      </c>
      <c r="C214" s="28">
        <f>IF('Visit Log'!C214="","",'Visit Log'!D214)</f>
        <v/>
      </c>
      <c r="D214" s="29">
        <f>IF('Visit Log'!C214="","",'Visit Log'!B214)</f>
        <v/>
      </c>
      <c r="E214" s="28">
        <f>IF('Visit Log'!C214="","",IF((IF('Visit Log'!AV214="Yes",", Art","")&amp;IF('Visit Log'!AW214="Yes",", Construction","")&amp;IF('Visit Log'!AX214="Yes",", Costumes","")&amp;IF('Visit Log'!AY214="Yes",", Craft Service","")&amp;IF('Visit Log'!AZ214="Yes",", Electrical","")&amp;IF('Visit Log'!BA214="Yes",", Greens","")&amp;IF('Visit Log'!BB214="Yes",", Grip","")&amp;IF('Visit Log'!BC214="Yes",", Locations","")&amp;IF('Visit Log'!BD214="Yes",", Medic","")&amp;IF('Visit Log'!BE214="Yes",", Paint","")&amp;IF('Visit Log'!BF214="Yes",", Plaster","")&amp;IF('Visit Log'!BG214="Yes",", Props","")&amp;IF('Visit Log'!BH214="Yes",", Set Dec","")&amp;IF('Visit Log'!BI214="Yes",", Set Teacher","")&amp;IF('Visit Log'!BJ214="Yes",", Sound","")&amp;IF('Visit Log'!BK214="Yes",", SPFX","")&amp;IF('Visit Log'!BL214="Yes",", Video",""))="","",MID(IF('Visit Log'!AV214="Yes",", Art","")&amp;IF('Visit Log'!AW214="Yes",", Construction","")&amp;IF('Visit Log'!AX214="Yes",", Costumes","")&amp;IF('Visit Log'!AY214="Yes",", Craft Service","")&amp;IF('Visit Log'!AZ214="Yes",", Electrical","")&amp;IF('Visit Log'!BA214="Yes",", Greens","")&amp;IF('Visit Log'!BB214="Yes",", Grip","")&amp;IF('Visit Log'!BC214="Yes",", Locations","")&amp;IF('Visit Log'!BD214="Yes",", Medic","")&amp;IF('Visit Log'!BE214="Yes",", Paint","")&amp;IF('Visit Log'!BF214="Yes",", Plaster","")&amp;IF('Visit Log'!BG214="Yes",", Props","")&amp;IF('Visit Log'!BH214="Yes",", Set Dec","")&amp;IF('Visit Log'!BI214="Yes",", Set Teacher","")&amp;IF('Visit Log'!BJ214="Yes",", Sound","")&amp;IF('Visit Log'!BK214="Yes",", SPFX","")&amp;IF('Visit Log'!BL214="Yes",", Video",""),3,300)))</f>
        <v/>
      </c>
      <c r="F214" s="28">
        <f>IF('Visit Log'!C214="","",'Visit Log'!T214)</f>
        <v/>
      </c>
    </row>
    <row r="215">
      <c r="A215" s="32">
        <f>IF('Visit Log'!C215="","",'Visit Log'!A215)</f>
        <v/>
      </c>
      <c r="B215" s="32">
        <f>IF('Visit Log'!C215="","",'Visit Log'!C215)</f>
        <v/>
      </c>
      <c r="C215" s="32">
        <f>IF('Visit Log'!C215="","",'Visit Log'!D215)</f>
        <v/>
      </c>
      <c r="D215" s="33">
        <f>IF('Visit Log'!C215="","",'Visit Log'!B215)</f>
        <v/>
      </c>
      <c r="E215" s="32">
        <f>IF('Visit Log'!C215="","",IF((IF('Visit Log'!AV215="Yes",", Art","")&amp;IF('Visit Log'!AW215="Yes",", Construction","")&amp;IF('Visit Log'!AX215="Yes",", Costumes","")&amp;IF('Visit Log'!AY215="Yes",", Craft Service","")&amp;IF('Visit Log'!AZ215="Yes",", Electrical","")&amp;IF('Visit Log'!BA215="Yes",", Greens","")&amp;IF('Visit Log'!BB215="Yes",", Grip","")&amp;IF('Visit Log'!BC215="Yes",", Locations","")&amp;IF('Visit Log'!BD215="Yes",", Medic","")&amp;IF('Visit Log'!BE215="Yes",", Paint","")&amp;IF('Visit Log'!BF215="Yes",", Plaster","")&amp;IF('Visit Log'!BG215="Yes",", Props","")&amp;IF('Visit Log'!BH215="Yes",", Set Dec","")&amp;IF('Visit Log'!BI215="Yes",", Set Teacher","")&amp;IF('Visit Log'!BJ215="Yes",", Sound","")&amp;IF('Visit Log'!BK215="Yes",", SPFX","")&amp;IF('Visit Log'!BL215="Yes",", Video",""))="","",MID(IF('Visit Log'!AV215="Yes",", Art","")&amp;IF('Visit Log'!AW215="Yes",", Construction","")&amp;IF('Visit Log'!AX215="Yes",", Costumes","")&amp;IF('Visit Log'!AY215="Yes",", Craft Service","")&amp;IF('Visit Log'!AZ215="Yes",", Electrical","")&amp;IF('Visit Log'!BA215="Yes",", Greens","")&amp;IF('Visit Log'!BB215="Yes",", Grip","")&amp;IF('Visit Log'!BC215="Yes",", Locations","")&amp;IF('Visit Log'!BD215="Yes",", Medic","")&amp;IF('Visit Log'!BE215="Yes",", Paint","")&amp;IF('Visit Log'!BF215="Yes",", Plaster","")&amp;IF('Visit Log'!BG215="Yes",", Props","")&amp;IF('Visit Log'!BH215="Yes",", Set Dec","")&amp;IF('Visit Log'!BI215="Yes",", Set Teacher","")&amp;IF('Visit Log'!BJ215="Yes",", Sound","")&amp;IF('Visit Log'!BK215="Yes",", SPFX","")&amp;IF('Visit Log'!BL215="Yes",", Video",""),3,300)))</f>
        <v/>
      </c>
      <c r="F215" s="32">
        <f>IF('Visit Log'!C215="","",'Visit Log'!T215)</f>
        <v/>
      </c>
    </row>
    <row r="216">
      <c r="A216" s="28">
        <f>IF('Visit Log'!C216="","",'Visit Log'!A216)</f>
        <v/>
      </c>
      <c r="B216" s="28">
        <f>IF('Visit Log'!C216="","",'Visit Log'!C216)</f>
        <v/>
      </c>
      <c r="C216" s="28">
        <f>IF('Visit Log'!C216="","",'Visit Log'!D216)</f>
        <v/>
      </c>
      <c r="D216" s="29">
        <f>IF('Visit Log'!C216="","",'Visit Log'!B216)</f>
        <v/>
      </c>
      <c r="E216" s="28">
        <f>IF('Visit Log'!C216="","",IF((IF('Visit Log'!AV216="Yes",", Art","")&amp;IF('Visit Log'!AW216="Yes",", Construction","")&amp;IF('Visit Log'!AX216="Yes",", Costumes","")&amp;IF('Visit Log'!AY216="Yes",", Craft Service","")&amp;IF('Visit Log'!AZ216="Yes",", Electrical","")&amp;IF('Visit Log'!BA216="Yes",", Greens","")&amp;IF('Visit Log'!BB216="Yes",", Grip","")&amp;IF('Visit Log'!BC216="Yes",", Locations","")&amp;IF('Visit Log'!BD216="Yes",", Medic","")&amp;IF('Visit Log'!BE216="Yes",", Paint","")&amp;IF('Visit Log'!BF216="Yes",", Plaster","")&amp;IF('Visit Log'!BG216="Yes",", Props","")&amp;IF('Visit Log'!BH216="Yes",", Set Dec","")&amp;IF('Visit Log'!BI216="Yes",", Set Teacher","")&amp;IF('Visit Log'!BJ216="Yes",", Sound","")&amp;IF('Visit Log'!BK216="Yes",", SPFX","")&amp;IF('Visit Log'!BL216="Yes",", Video",""))="","",MID(IF('Visit Log'!AV216="Yes",", Art","")&amp;IF('Visit Log'!AW216="Yes",", Construction","")&amp;IF('Visit Log'!AX216="Yes",", Costumes","")&amp;IF('Visit Log'!AY216="Yes",", Craft Service","")&amp;IF('Visit Log'!AZ216="Yes",", Electrical","")&amp;IF('Visit Log'!BA216="Yes",", Greens","")&amp;IF('Visit Log'!BB216="Yes",", Grip","")&amp;IF('Visit Log'!BC216="Yes",", Locations","")&amp;IF('Visit Log'!BD216="Yes",", Medic","")&amp;IF('Visit Log'!BE216="Yes",", Paint","")&amp;IF('Visit Log'!BF216="Yes",", Plaster","")&amp;IF('Visit Log'!BG216="Yes",", Props","")&amp;IF('Visit Log'!BH216="Yes",", Set Dec","")&amp;IF('Visit Log'!BI216="Yes",", Set Teacher","")&amp;IF('Visit Log'!BJ216="Yes",", Sound","")&amp;IF('Visit Log'!BK216="Yes",", SPFX","")&amp;IF('Visit Log'!BL216="Yes",", Video",""),3,300)))</f>
        <v/>
      </c>
      <c r="F216" s="28">
        <f>IF('Visit Log'!C216="","",'Visit Log'!T216)</f>
        <v/>
      </c>
    </row>
    <row r="217">
      <c r="A217" s="32">
        <f>IF('Visit Log'!C217="","",'Visit Log'!A217)</f>
        <v/>
      </c>
      <c r="B217" s="32">
        <f>IF('Visit Log'!C217="","",'Visit Log'!C217)</f>
        <v/>
      </c>
      <c r="C217" s="32">
        <f>IF('Visit Log'!C217="","",'Visit Log'!D217)</f>
        <v/>
      </c>
      <c r="D217" s="33">
        <f>IF('Visit Log'!C217="","",'Visit Log'!B217)</f>
        <v/>
      </c>
      <c r="E217" s="32">
        <f>IF('Visit Log'!C217="","",IF((IF('Visit Log'!AV217="Yes",", Art","")&amp;IF('Visit Log'!AW217="Yes",", Construction","")&amp;IF('Visit Log'!AX217="Yes",", Costumes","")&amp;IF('Visit Log'!AY217="Yes",", Craft Service","")&amp;IF('Visit Log'!AZ217="Yes",", Electrical","")&amp;IF('Visit Log'!BA217="Yes",", Greens","")&amp;IF('Visit Log'!BB217="Yes",", Grip","")&amp;IF('Visit Log'!BC217="Yes",", Locations","")&amp;IF('Visit Log'!BD217="Yes",", Medic","")&amp;IF('Visit Log'!BE217="Yes",", Paint","")&amp;IF('Visit Log'!BF217="Yes",", Plaster","")&amp;IF('Visit Log'!BG217="Yes",", Props","")&amp;IF('Visit Log'!BH217="Yes",", Set Dec","")&amp;IF('Visit Log'!BI217="Yes",", Set Teacher","")&amp;IF('Visit Log'!BJ217="Yes",", Sound","")&amp;IF('Visit Log'!BK217="Yes",", SPFX","")&amp;IF('Visit Log'!BL217="Yes",", Video",""))="","",MID(IF('Visit Log'!AV217="Yes",", Art","")&amp;IF('Visit Log'!AW217="Yes",", Construction","")&amp;IF('Visit Log'!AX217="Yes",", Costumes","")&amp;IF('Visit Log'!AY217="Yes",", Craft Service","")&amp;IF('Visit Log'!AZ217="Yes",", Electrical","")&amp;IF('Visit Log'!BA217="Yes",", Greens","")&amp;IF('Visit Log'!BB217="Yes",", Grip","")&amp;IF('Visit Log'!BC217="Yes",", Locations","")&amp;IF('Visit Log'!BD217="Yes",", Medic","")&amp;IF('Visit Log'!BE217="Yes",", Paint","")&amp;IF('Visit Log'!BF217="Yes",", Plaster","")&amp;IF('Visit Log'!BG217="Yes",", Props","")&amp;IF('Visit Log'!BH217="Yes",", Set Dec","")&amp;IF('Visit Log'!BI217="Yes",", Set Teacher","")&amp;IF('Visit Log'!BJ217="Yes",", Sound","")&amp;IF('Visit Log'!BK217="Yes",", SPFX","")&amp;IF('Visit Log'!BL217="Yes",", Video",""),3,300)))</f>
        <v/>
      </c>
      <c r="F217" s="32">
        <f>IF('Visit Log'!C217="","",'Visit Log'!T217)</f>
        <v/>
      </c>
    </row>
    <row r="218">
      <c r="A218" s="28">
        <f>IF('Visit Log'!C218="","",'Visit Log'!A218)</f>
        <v/>
      </c>
      <c r="B218" s="28">
        <f>IF('Visit Log'!C218="","",'Visit Log'!C218)</f>
        <v/>
      </c>
      <c r="C218" s="28">
        <f>IF('Visit Log'!C218="","",'Visit Log'!D218)</f>
        <v/>
      </c>
      <c r="D218" s="29">
        <f>IF('Visit Log'!C218="","",'Visit Log'!B218)</f>
        <v/>
      </c>
      <c r="E218" s="28">
        <f>IF('Visit Log'!C218="","",IF((IF('Visit Log'!AV218="Yes",", Art","")&amp;IF('Visit Log'!AW218="Yes",", Construction","")&amp;IF('Visit Log'!AX218="Yes",", Costumes","")&amp;IF('Visit Log'!AY218="Yes",", Craft Service","")&amp;IF('Visit Log'!AZ218="Yes",", Electrical","")&amp;IF('Visit Log'!BA218="Yes",", Greens","")&amp;IF('Visit Log'!BB218="Yes",", Grip","")&amp;IF('Visit Log'!BC218="Yes",", Locations","")&amp;IF('Visit Log'!BD218="Yes",", Medic","")&amp;IF('Visit Log'!BE218="Yes",", Paint","")&amp;IF('Visit Log'!BF218="Yes",", Plaster","")&amp;IF('Visit Log'!BG218="Yes",", Props","")&amp;IF('Visit Log'!BH218="Yes",", Set Dec","")&amp;IF('Visit Log'!BI218="Yes",", Set Teacher","")&amp;IF('Visit Log'!BJ218="Yes",", Sound","")&amp;IF('Visit Log'!BK218="Yes",", SPFX","")&amp;IF('Visit Log'!BL218="Yes",", Video",""))="","",MID(IF('Visit Log'!AV218="Yes",", Art","")&amp;IF('Visit Log'!AW218="Yes",", Construction","")&amp;IF('Visit Log'!AX218="Yes",", Costumes","")&amp;IF('Visit Log'!AY218="Yes",", Craft Service","")&amp;IF('Visit Log'!AZ218="Yes",", Electrical","")&amp;IF('Visit Log'!BA218="Yes",", Greens","")&amp;IF('Visit Log'!BB218="Yes",", Grip","")&amp;IF('Visit Log'!BC218="Yes",", Locations","")&amp;IF('Visit Log'!BD218="Yes",", Medic","")&amp;IF('Visit Log'!BE218="Yes",", Paint","")&amp;IF('Visit Log'!BF218="Yes",", Plaster","")&amp;IF('Visit Log'!BG218="Yes",", Props","")&amp;IF('Visit Log'!BH218="Yes",", Set Dec","")&amp;IF('Visit Log'!BI218="Yes",", Set Teacher","")&amp;IF('Visit Log'!BJ218="Yes",", Sound","")&amp;IF('Visit Log'!BK218="Yes",", SPFX","")&amp;IF('Visit Log'!BL218="Yes",", Video",""),3,300)))</f>
        <v/>
      </c>
      <c r="F218" s="28">
        <f>IF('Visit Log'!C218="","",'Visit Log'!T218)</f>
        <v/>
      </c>
    </row>
    <row r="219">
      <c r="A219" s="32">
        <f>IF('Visit Log'!C219="","",'Visit Log'!A219)</f>
        <v/>
      </c>
      <c r="B219" s="32">
        <f>IF('Visit Log'!C219="","",'Visit Log'!C219)</f>
        <v/>
      </c>
      <c r="C219" s="32">
        <f>IF('Visit Log'!C219="","",'Visit Log'!D219)</f>
        <v/>
      </c>
      <c r="D219" s="33">
        <f>IF('Visit Log'!C219="","",'Visit Log'!B219)</f>
        <v/>
      </c>
      <c r="E219" s="32">
        <f>IF('Visit Log'!C219="","",IF((IF('Visit Log'!AV219="Yes",", Art","")&amp;IF('Visit Log'!AW219="Yes",", Construction","")&amp;IF('Visit Log'!AX219="Yes",", Costumes","")&amp;IF('Visit Log'!AY219="Yes",", Craft Service","")&amp;IF('Visit Log'!AZ219="Yes",", Electrical","")&amp;IF('Visit Log'!BA219="Yes",", Greens","")&amp;IF('Visit Log'!BB219="Yes",", Grip","")&amp;IF('Visit Log'!BC219="Yes",", Locations","")&amp;IF('Visit Log'!BD219="Yes",", Medic","")&amp;IF('Visit Log'!BE219="Yes",", Paint","")&amp;IF('Visit Log'!BF219="Yes",", Plaster","")&amp;IF('Visit Log'!BG219="Yes",", Props","")&amp;IF('Visit Log'!BH219="Yes",", Set Dec","")&amp;IF('Visit Log'!BI219="Yes",", Set Teacher","")&amp;IF('Visit Log'!BJ219="Yes",", Sound","")&amp;IF('Visit Log'!BK219="Yes",", SPFX","")&amp;IF('Visit Log'!BL219="Yes",", Video",""))="","",MID(IF('Visit Log'!AV219="Yes",", Art","")&amp;IF('Visit Log'!AW219="Yes",", Construction","")&amp;IF('Visit Log'!AX219="Yes",", Costumes","")&amp;IF('Visit Log'!AY219="Yes",", Craft Service","")&amp;IF('Visit Log'!AZ219="Yes",", Electrical","")&amp;IF('Visit Log'!BA219="Yes",", Greens","")&amp;IF('Visit Log'!BB219="Yes",", Grip","")&amp;IF('Visit Log'!BC219="Yes",", Locations","")&amp;IF('Visit Log'!BD219="Yes",", Medic","")&amp;IF('Visit Log'!BE219="Yes",", Paint","")&amp;IF('Visit Log'!BF219="Yes",", Plaster","")&amp;IF('Visit Log'!BG219="Yes",", Props","")&amp;IF('Visit Log'!BH219="Yes",", Set Dec","")&amp;IF('Visit Log'!BI219="Yes",", Set Teacher","")&amp;IF('Visit Log'!BJ219="Yes",", Sound","")&amp;IF('Visit Log'!BK219="Yes",", SPFX","")&amp;IF('Visit Log'!BL219="Yes",", Video",""),3,300)))</f>
        <v/>
      </c>
      <c r="F219" s="32">
        <f>IF('Visit Log'!C219="","",'Visit Log'!T219)</f>
        <v/>
      </c>
    </row>
    <row r="220">
      <c r="A220" s="28">
        <f>IF('Visit Log'!C220="","",'Visit Log'!A220)</f>
        <v/>
      </c>
      <c r="B220" s="28">
        <f>IF('Visit Log'!C220="","",'Visit Log'!C220)</f>
        <v/>
      </c>
      <c r="C220" s="28">
        <f>IF('Visit Log'!C220="","",'Visit Log'!D220)</f>
        <v/>
      </c>
      <c r="D220" s="29">
        <f>IF('Visit Log'!C220="","",'Visit Log'!B220)</f>
        <v/>
      </c>
      <c r="E220" s="28">
        <f>IF('Visit Log'!C220="","",IF((IF('Visit Log'!AV220="Yes",", Art","")&amp;IF('Visit Log'!AW220="Yes",", Construction","")&amp;IF('Visit Log'!AX220="Yes",", Costumes","")&amp;IF('Visit Log'!AY220="Yes",", Craft Service","")&amp;IF('Visit Log'!AZ220="Yes",", Electrical","")&amp;IF('Visit Log'!BA220="Yes",", Greens","")&amp;IF('Visit Log'!BB220="Yes",", Grip","")&amp;IF('Visit Log'!BC220="Yes",", Locations","")&amp;IF('Visit Log'!BD220="Yes",", Medic","")&amp;IF('Visit Log'!BE220="Yes",", Paint","")&amp;IF('Visit Log'!BF220="Yes",", Plaster","")&amp;IF('Visit Log'!BG220="Yes",", Props","")&amp;IF('Visit Log'!BH220="Yes",", Set Dec","")&amp;IF('Visit Log'!BI220="Yes",", Set Teacher","")&amp;IF('Visit Log'!BJ220="Yes",", Sound","")&amp;IF('Visit Log'!BK220="Yes",", SPFX","")&amp;IF('Visit Log'!BL220="Yes",", Video",""))="","",MID(IF('Visit Log'!AV220="Yes",", Art","")&amp;IF('Visit Log'!AW220="Yes",", Construction","")&amp;IF('Visit Log'!AX220="Yes",", Costumes","")&amp;IF('Visit Log'!AY220="Yes",", Craft Service","")&amp;IF('Visit Log'!AZ220="Yes",", Electrical","")&amp;IF('Visit Log'!BA220="Yes",", Greens","")&amp;IF('Visit Log'!BB220="Yes",", Grip","")&amp;IF('Visit Log'!BC220="Yes",", Locations","")&amp;IF('Visit Log'!BD220="Yes",", Medic","")&amp;IF('Visit Log'!BE220="Yes",", Paint","")&amp;IF('Visit Log'!BF220="Yes",", Plaster","")&amp;IF('Visit Log'!BG220="Yes",", Props","")&amp;IF('Visit Log'!BH220="Yes",", Set Dec","")&amp;IF('Visit Log'!BI220="Yes",", Set Teacher","")&amp;IF('Visit Log'!BJ220="Yes",", Sound","")&amp;IF('Visit Log'!BK220="Yes",", SPFX","")&amp;IF('Visit Log'!BL220="Yes",", Video",""),3,300)))</f>
        <v/>
      </c>
      <c r="F220" s="28">
        <f>IF('Visit Log'!C220="","",'Visit Log'!T220)</f>
        <v/>
      </c>
    </row>
    <row r="221">
      <c r="A221" s="32">
        <f>IF('Visit Log'!C221="","",'Visit Log'!A221)</f>
        <v/>
      </c>
      <c r="B221" s="32">
        <f>IF('Visit Log'!C221="","",'Visit Log'!C221)</f>
        <v/>
      </c>
      <c r="C221" s="32">
        <f>IF('Visit Log'!C221="","",'Visit Log'!D221)</f>
        <v/>
      </c>
      <c r="D221" s="33">
        <f>IF('Visit Log'!C221="","",'Visit Log'!B221)</f>
        <v/>
      </c>
      <c r="E221" s="32">
        <f>IF('Visit Log'!C221="","",IF((IF('Visit Log'!AV221="Yes",", Art","")&amp;IF('Visit Log'!AW221="Yes",", Construction","")&amp;IF('Visit Log'!AX221="Yes",", Costumes","")&amp;IF('Visit Log'!AY221="Yes",", Craft Service","")&amp;IF('Visit Log'!AZ221="Yes",", Electrical","")&amp;IF('Visit Log'!BA221="Yes",", Greens","")&amp;IF('Visit Log'!BB221="Yes",", Grip","")&amp;IF('Visit Log'!BC221="Yes",", Locations","")&amp;IF('Visit Log'!BD221="Yes",", Medic","")&amp;IF('Visit Log'!BE221="Yes",", Paint","")&amp;IF('Visit Log'!BF221="Yes",", Plaster","")&amp;IF('Visit Log'!BG221="Yes",", Props","")&amp;IF('Visit Log'!BH221="Yes",", Set Dec","")&amp;IF('Visit Log'!BI221="Yes",", Set Teacher","")&amp;IF('Visit Log'!BJ221="Yes",", Sound","")&amp;IF('Visit Log'!BK221="Yes",", SPFX","")&amp;IF('Visit Log'!BL221="Yes",", Video",""))="","",MID(IF('Visit Log'!AV221="Yes",", Art","")&amp;IF('Visit Log'!AW221="Yes",", Construction","")&amp;IF('Visit Log'!AX221="Yes",", Costumes","")&amp;IF('Visit Log'!AY221="Yes",", Craft Service","")&amp;IF('Visit Log'!AZ221="Yes",", Electrical","")&amp;IF('Visit Log'!BA221="Yes",", Greens","")&amp;IF('Visit Log'!BB221="Yes",", Grip","")&amp;IF('Visit Log'!BC221="Yes",", Locations","")&amp;IF('Visit Log'!BD221="Yes",", Medic","")&amp;IF('Visit Log'!BE221="Yes",", Paint","")&amp;IF('Visit Log'!BF221="Yes",", Plaster","")&amp;IF('Visit Log'!BG221="Yes",", Props","")&amp;IF('Visit Log'!BH221="Yes",", Set Dec","")&amp;IF('Visit Log'!BI221="Yes",", Set Teacher","")&amp;IF('Visit Log'!BJ221="Yes",", Sound","")&amp;IF('Visit Log'!BK221="Yes",", SPFX","")&amp;IF('Visit Log'!BL221="Yes",", Video",""),3,300)))</f>
        <v/>
      </c>
      <c r="F221" s="32">
        <f>IF('Visit Log'!C221="","",'Visit Log'!T221)</f>
        <v/>
      </c>
    </row>
    <row r="222">
      <c r="A222" s="28">
        <f>IF('Visit Log'!C222="","",'Visit Log'!A222)</f>
        <v/>
      </c>
      <c r="B222" s="28">
        <f>IF('Visit Log'!C222="","",'Visit Log'!C222)</f>
        <v/>
      </c>
      <c r="C222" s="28">
        <f>IF('Visit Log'!C222="","",'Visit Log'!D222)</f>
        <v/>
      </c>
      <c r="D222" s="29">
        <f>IF('Visit Log'!C222="","",'Visit Log'!B222)</f>
        <v/>
      </c>
      <c r="E222" s="28">
        <f>IF('Visit Log'!C222="","",IF((IF('Visit Log'!AV222="Yes",", Art","")&amp;IF('Visit Log'!AW222="Yes",", Construction","")&amp;IF('Visit Log'!AX222="Yes",", Costumes","")&amp;IF('Visit Log'!AY222="Yes",", Craft Service","")&amp;IF('Visit Log'!AZ222="Yes",", Electrical","")&amp;IF('Visit Log'!BA222="Yes",", Greens","")&amp;IF('Visit Log'!BB222="Yes",", Grip","")&amp;IF('Visit Log'!BC222="Yes",", Locations","")&amp;IF('Visit Log'!BD222="Yes",", Medic","")&amp;IF('Visit Log'!BE222="Yes",", Paint","")&amp;IF('Visit Log'!BF222="Yes",", Plaster","")&amp;IF('Visit Log'!BG222="Yes",", Props","")&amp;IF('Visit Log'!BH222="Yes",", Set Dec","")&amp;IF('Visit Log'!BI222="Yes",", Set Teacher","")&amp;IF('Visit Log'!BJ222="Yes",", Sound","")&amp;IF('Visit Log'!BK222="Yes",", SPFX","")&amp;IF('Visit Log'!BL222="Yes",", Video",""))="","",MID(IF('Visit Log'!AV222="Yes",", Art","")&amp;IF('Visit Log'!AW222="Yes",", Construction","")&amp;IF('Visit Log'!AX222="Yes",", Costumes","")&amp;IF('Visit Log'!AY222="Yes",", Craft Service","")&amp;IF('Visit Log'!AZ222="Yes",", Electrical","")&amp;IF('Visit Log'!BA222="Yes",", Greens","")&amp;IF('Visit Log'!BB222="Yes",", Grip","")&amp;IF('Visit Log'!BC222="Yes",", Locations","")&amp;IF('Visit Log'!BD222="Yes",", Medic","")&amp;IF('Visit Log'!BE222="Yes",", Paint","")&amp;IF('Visit Log'!BF222="Yes",", Plaster","")&amp;IF('Visit Log'!BG222="Yes",", Props","")&amp;IF('Visit Log'!BH222="Yes",", Set Dec","")&amp;IF('Visit Log'!BI222="Yes",", Set Teacher","")&amp;IF('Visit Log'!BJ222="Yes",", Sound","")&amp;IF('Visit Log'!BK222="Yes",", SPFX","")&amp;IF('Visit Log'!BL222="Yes",", Video",""),3,300)))</f>
        <v/>
      </c>
      <c r="F222" s="28">
        <f>IF('Visit Log'!C222="","",'Visit Log'!T222)</f>
        <v/>
      </c>
    </row>
    <row r="223">
      <c r="A223" s="32">
        <f>IF('Visit Log'!C223="","",'Visit Log'!A223)</f>
        <v/>
      </c>
      <c r="B223" s="32">
        <f>IF('Visit Log'!C223="","",'Visit Log'!C223)</f>
        <v/>
      </c>
      <c r="C223" s="32">
        <f>IF('Visit Log'!C223="","",'Visit Log'!D223)</f>
        <v/>
      </c>
      <c r="D223" s="33">
        <f>IF('Visit Log'!C223="","",'Visit Log'!B223)</f>
        <v/>
      </c>
      <c r="E223" s="32">
        <f>IF('Visit Log'!C223="","",IF((IF('Visit Log'!AV223="Yes",", Art","")&amp;IF('Visit Log'!AW223="Yes",", Construction","")&amp;IF('Visit Log'!AX223="Yes",", Costumes","")&amp;IF('Visit Log'!AY223="Yes",", Craft Service","")&amp;IF('Visit Log'!AZ223="Yes",", Electrical","")&amp;IF('Visit Log'!BA223="Yes",", Greens","")&amp;IF('Visit Log'!BB223="Yes",", Grip","")&amp;IF('Visit Log'!BC223="Yes",", Locations","")&amp;IF('Visit Log'!BD223="Yes",", Medic","")&amp;IF('Visit Log'!BE223="Yes",", Paint","")&amp;IF('Visit Log'!BF223="Yes",", Plaster","")&amp;IF('Visit Log'!BG223="Yes",", Props","")&amp;IF('Visit Log'!BH223="Yes",", Set Dec","")&amp;IF('Visit Log'!BI223="Yes",", Set Teacher","")&amp;IF('Visit Log'!BJ223="Yes",", Sound","")&amp;IF('Visit Log'!BK223="Yes",", SPFX","")&amp;IF('Visit Log'!BL223="Yes",", Video",""))="","",MID(IF('Visit Log'!AV223="Yes",", Art","")&amp;IF('Visit Log'!AW223="Yes",", Construction","")&amp;IF('Visit Log'!AX223="Yes",", Costumes","")&amp;IF('Visit Log'!AY223="Yes",", Craft Service","")&amp;IF('Visit Log'!AZ223="Yes",", Electrical","")&amp;IF('Visit Log'!BA223="Yes",", Greens","")&amp;IF('Visit Log'!BB223="Yes",", Grip","")&amp;IF('Visit Log'!BC223="Yes",", Locations","")&amp;IF('Visit Log'!BD223="Yes",", Medic","")&amp;IF('Visit Log'!BE223="Yes",", Paint","")&amp;IF('Visit Log'!BF223="Yes",", Plaster","")&amp;IF('Visit Log'!BG223="Yes",", Props","")&amp;IF('Visit Log'!BH223="Yes",", Set Dec","")&amp;IF('Visit Log'!BI223="Yes",", Set Teacher","")&amp;IF('Visit Log'!BJ223="Yes",", Sound","")&amp;IF('Visit Log'!BK223="Yes",", SPFX","")&amp;IF('Visit Log'!BL223="Yes",", Video",""),3,300)))</f>
        <v/>
      </c>
      <c r="F223" s="32">
        <f>IF('Visit Log'!C223="","",'Visit Log'!T223)</f>
        <v/>
      </c>
    </row>
    <row r="224">
      <c r="A224" s="28">
        <f>IF('Visit Log'!C224="","",'Visit Log'!A224)</f>
        <v/>
      </c>
      <c r="B224" s="28">
        <f>IF('Visit Log'!C224="","",'Visit Log'!C224)</f>
        <v/>
      </c>
      <c r="C224" s="28">
        <f>IF('Visit Log'!C224="","",'Visit Log'!D224)</f>
        <v/>
      </c>
      <c r="D224" s="29">
        <f>IF('Visit Log'!C224="","",'Visit Log'!B224)</f>
        <v/>
      </c>
      <c r="E224" s="28">
        <f>IF('Visit Log'!C224="","",IF((IF('Visit Log'!AV224="Yes",", Art","")&amp;IF('Visit Log'!AW224="Yes",", Construction","")&amp;IF('Visit Log'!AX224="Yes",", Costumes","")&amp;IF('Visit Log'!AY224="Yes",", Craft Service","")&amp;IF('Visit Log'!AZ224="Yes",", Electrical","")&amp;IF('Visit Log'!BA224="Yes",", Greens","")&amp;IF('Visit Log'!BB224="Yes",", Grip","")&amp;IF('Visit Log'!BC224="Yes",", Locations","")&amp;IF('Visit Log'!BD224="Yes",", Medic","")&amp;IF('Visit Log'!BE224="Yes",", Paint","")&amp;IF('Visit Log'!BF224="Yes",", Plaster","")&amp;IF('Visit Log'!BG224="Yes",", Props","")&amp;IF('Visit Log'!BH224="Yes",", Set Dec","")&amp;IF('Visit Log'!BI224="Yes",", Set Teacher","")&amp;IF('Visit Log'!BJ224="Yes",", Sound","")&amp;IF('Visit Log'!BK224="Yes",", SPFX","")&amp;IF('Visit Log'!BL224="Yes",", Video",""))="","",MID(IF('Visit Log'!AV224="Yes",", Art","")&amp;IF('Visit Log'!AW224="Yes",", Construction","")&amp;IF('Visit Log'!AX224="Yes",", Costumes","")&amp;IF('Visit Log'!AY224="Yes",", Craft Service","")&amp;IF('Visit Log'!AZ224="Yes",", Electrical","")&amp;IF('Visit Log'!BA224="Yes",", Greens","")&amp;IF('Visit Log'!BB224="Yes",", Grip","")&amp;IF('Visit Log'!BC224="Yes",", Locations","")&amp;IF('Visit Log'!BD224="Yes",", Medic","")&amp;IF('Visit Log'!BE224="Yes",", Paint","")&amp;IF('Visit Log'!BF224="Yes",", Plaster","")&amp;IF('Visit Log'!BG224="Yes",", Props","")&amp;IF('Visit Log'!BH224="Yes",", Set Dec","")&amp;IF('Visit Log'!BI224="Yes",", Set Teacher","")&amp;IF('Visit Log'!BJ224="Yes",", Sound","")&amp;IF('Visit Log'!BK224="Yes",", SPFX","")&amp;IF('Visit Log'!BL224="Yes",", Video",""),3,300)))</f>
        <v/>
      </c>
      <c r="F224" s="28">
        <f>IF('Visit Log'!C224="","",'Visit Log'!T224)</f>
        <v/>
      </c>
    </row>
    <row r="225">
      <c r="A225" s="32">
        <f>IF('Visit Log'!C225="","",'Visit Log'!A225)</f>
        <v/>
      </c>
      <c r="B225" s="32">
        <f>IF('Visit Log'!C225="","",'Visit Log'!C225)</f>
        <v/>
      </c>
      <c r="C225" s="32">
        <f>IF('Visit Log'!C225="","",'Visit Log'!D225)</f>
        <v/>
      </c>
      <c r="D225" s="33">
        <f>IF('Visit Log'!C225="","",'Visit Log'!B225)</f>
        <v/>
      </c>
      <c r="E225" s="32">
        <f>IF('Visit Log'!C225="","",IF((IF('Visit Log'!AV225="Yes",", Art","")&amp;IF('Visit Log'!AW225="Yes",", Construction","")&amp;IF('Visit Log'!AX225="Yes",", Costumes","")&amp;IF('Visit Log'!AY225="Yes",", Craft Service","")&amp;IF('Visit Log'!AZ225="Yes",", Electrical","")&amp;IF('Visit Log'!BA225="Yes",", Greens","")&amp;IF('Visit Log'!BB225="Yes",", Grip","")&amp;IF('Visit Log'!BC225="Yes",", Locations","")&amp;IF('Visit Log'!BD225="Yes",", Medic","")&amp;IF('Visit Log'!BE225="Yes",", Paint","")&amp;IF('Visit Log'!BF225="Yes",", Plaster","")&amp;IF('Visit Log'!BG225="Yes",", Props","")&amp;IF('Visit Log'!BH225="Yes",", Set Dec","")&amp;IF('Visit Log'!BI225="Yes",", Set Teacher","")&amp;IF('Visit Log'!BJ225="Yes",", Sound","")&amp;IF('Visit Log'!BK225="Yes",", SPFX","")&amp;IF('Visit Log'!BL225="Yes",", Video",""))="","",MID(IF('Visit Log'!AV225="Yes",", Art","")&amp;IF('Visit Log'!AW225="Yes",", Construction","")&amp;IF('Visit Log'!AX225="Yes",", Costumes","")&amp;IF('Visit Log'!AY225="Yes",", Craft Service","")&amp;IF('Visit Log'!AZ225="Yes",", Electrical","")&amp;IF('Visit Log'!BA225="Yes",", Greens","")&amp;IF('Visit Log'!BB225="Yes",", Grip","")&amp;IF('Visit Log'!BC225="Yes",", Locations","")&amp;IF('Visit Log'!BD225="Yes",", Medic","")&amp;IF('Visit Log'!BE225="Yes",", Paint","")&amp;IF('Visit Log'!BF225="Yes",", Plaster","")&amp;IF('Visit Log'!BG225="Yes",", Props","")&amp;IF('Visit Log'!BH225="Yes",", Set Dec","")&amp;IF('Visit Log'!BI225="Yes",", Set Teacher","")&amp;IF('Visit Log'!BJ225="Yes",", Sound","")&amp;IF('Visit Log'!BK225="Yes",", SPFX","")&amp;IF('Visit Log'!BL225="Yes",", Video",""),3,300)))</f>
        <v/>
      </c>
      <c r="F225" s="32">
        <f>IF('Visit Log'!C225="","",'Visit Log'!T225)</f>
        <v/>
      </c>
    </row>
    <row r="226">
      <c r="A226" s="28">
        <f>IF('Visit Log'!C226="","",'Visit Log'!A226)</f>
        <v/>
      </c>
      <c r="B226" s="28">
        <f>IF('Visit Log'!C226="","",'Visit Log'!C226)</f>
        <v/>
      </c>
      <c r="C226" s="28">
        <f>IF('Visit Log'!C226="","",'Visit Log'!D226)</f>
        <v/>
      </c>
      <c r="D226" s="29">
        <f>IF('Visit Log'!C226="","",'Visit Log'!B226)</f>
        <v/>
      </c>
      <c r="E226" s="28">
        <f>IF('Visit Log'!C226="","",IF((IF('Visit Log'!AV226="Yes",", Art","")&amp;IF('Visit Log'!AW226="Yes",", Construction","")&amp;IF('Visit Log'!AX226="Yes",", Costumes","")&amp;IF('Visit Log'!AY226="Yes",", Craft Service","")&amp;IF('Visit Log'!AZ226="Yes",", Electrical","")&amp;IF('Visit Log'!BA226="Yes",", Greens","")&amp;IF('Visit Log'!BB226="Yes",", Grip","")&amp;IF('Visit Log'!BC226="Yes",", Locations","")&amp;IF('Visit Log'!BD226="Yes",", Medic","")&amp;IF('Visit Log'!BE226="Yes",", Paint","")&amp;IF('Visit Log'!BF226="Yes",", Plaster","")&amp;IF('Visit Log'!BG226="Yes",", Props","")&amp;IF('Visit Log'!BH226="Yes",", Set Dec","")&amp;IF('Visit Log'!BI226="Yes",", Set Teacher","")&amp;IF('Visit Log'!BJ226="Yes",", Sound","")&amp;IF('Visit Log'!BK226="Yes",", SPFX","")&amp;IF('Visit Log'!BL226="Yes",", Video",""))="","",MID(IF('Visit Log'!AV226="Yes",", Art","")&amp;IF('Visit Log'!AW226="Yes",", Construction","")&amp;IF('Visit Log'!AX226="Yes",", Costumes","")&amp;IF('Visit Log'!AY226="Yes",", Craft Service","")&amp;IF('Visit Log'!AZ226="Yes",", Electrical","")&amp;IF('Visit Log'!BA226="Yes",", Greens","")&amp;IF('Visit Log'!BB226="Yes",", Grip","")&amp;IF('Visit Log'!BC226="Yes",", Locations","")&amp;IF('Visit Log'!BD226="Yes",", Medic","")&amp;IF('Visit Log'!BE226="Yes",", Paint","")&amp;IF('Visit Log'!BF226="Yes",", Plaster","")&amp;IF('Visit Log'!BG226="Yes",", Props","")&amp;IF('Visit Log'!BH226="Yes",", Set Dec","")&amp;IF('Visit Log'!BI226="Yes",", Set Teacher","")&amp;IF('Visit Log'!BJ226="Yes",", Sound","")&amp;IF('Visit Log'!BK226="Yes",", SPFX","")&amp;IF('Visit Log'!BL226="Yes",", Video",""),3,300)))</f>
        <v/>
      </c>
      <c r="F226" s="28">
        <f>IF('Visit Log'!C226="","",'Visit Log'!T226)</f>
        <v/>
      </c>
    </row>
    <row r="227">
      <c r="A227" s="32">
        <f>IF('Visit Log'!C227="","",'Visit Log'!A227)</f>
        <v/>
      </c>
      <c r="B227" s="32">
        <f>IF('Visit Log'!C227="","",'Visit Log'!C227)</f>
        <v/>
      </c>
      <c r="C227" s="32">
        <f>IF('Visit Log'!C227="","",'Visit Log'!D227)</f>
        <v/>
      </c>
      <c r="D227" s="33">
        <f>IF('Visit Log'!C227="","",'Visit Log'!B227)</f>
        <v/>
      </c>
      <c r="E227" s="32">
        <f>IF('Visit Log'!C227="","",IF((IF('Visit Log'!AV227="Yes",", Art","")&amp;IF('Visit Log'!AW227="Yes",", Construction","")&amp;IF('Visit Log'!AX227="Yes",", Costumes","")&amp;IF('Visit Log'!AY227="Yes",", Craft Service","")&amp;IF('Visit Log'!AZ227="Yes",", Electrical","")&amp;IF('Visit Log'!BA227="Yes",", Greens","")&amp;IF('Visit Log'!BB227="Yes",", Grip","")&amp;IF('Visit Log'!BC227="Yes",", Locations","")&amp;IF('Visit Log'!BD227="Yes",", Medic","")&amp;IF('Visit Log'!BE227="Yes",", Paint","")&amp;IF('Visit Log'!BF227="Yes",", Plaster","")&amp;IF('Visit Log'!BG227="Yes",", Props","")&amp;IF('Visit Log'!BH227="Yes",", Set Dec","")&amp;IF('Visit Log'!BI227="Yes",", Set Teacher","")&amp;IF('Visit Log'!BJ227="Yes",", Sound","")&amp;IF('Visit Log'!BK227="Yes",", SPFX","")&amp;IF('Visit Log'!BL227="Yes",", Video",""))="","",MID(IF('Visit Log'!AV227="Yes",", Art","")&amp;IF('Visit Log'!AW227="Yes",", Construction","")&amp;IF('Visit Log'!AX227="Yes",", Costumes","")&amp;IF('Visit Log'!AY227="Yes",", Craft Service","")&amp;IF('Visit Log'!AZ227="Yes",", Electrical","")&amp;IF('Visit Log'!BA227="Yes",", Greens","")&amp;IF('Visit Log'!BB227="Yes",", Grip","")&amp;IF('Visit Log'!BC227="Yes",", Locations","")&amp;IF('Visit Log'!BD227="Yes",", Medic","")&amp;IF('Visit Log'!BE227="Yes",", Paint","")&amp;IF('Visit Log'!BF227="Yes",", Plaster","")&amp;IF('Visit Log'!BG227="Yes",", Props","")&amp;IF('Visit Log'!BH227="Yes",", Set Dec","")&amp;IF('Visit Log'!BI227="Yes",", Set Teacher","")&amp;IF('Visit Log'!BJ227="Yes",", Sound","")&amp;IF('Visit Log'!BK227="Yes",", SPFX","")&amp;IF('Visit Log'!BL227="Yes",", Video",""),3,300)))</f>
        <v/>
      </c>
      <c r="F227" s="32">
        <f>IF('Visit Log'!C227="","",'Visit Log'!T227)</f>
        <v/>
      </c>
    </row>
    <row r="228">
      <c r="A228" s="28">
        <f>IF('Visit Log'!C228="","",'Visit Log'!A228)</f>
        <v/>
      </c>
      <c r="B228" s="28">
        <f>IF('Visit Log'!C228="","",'Visit Log'!C228)</f>
        <v/>
      </c>
      <c r="C228" s="28">
        <f>IF('Visit Log'!C228="","",'Visit Log'!D228)</f>
        <v/>
      </c>
      <c r="D228" s="29">
        <f>IF('Visit Log'!C228="","",'Visit Log'!B228)</f>
        <v/>
      </c>
      <c r="E228" s="28">
        <f>IF('Visit Log'!C228="","",IF((IF('Visit Log'!AV228="Yes",", Art","")&amp;IF('Visit Log'!AW228="Yes",", Construction","")&amp;IF('Visit Log'!AX228="Yes",", Costumes","")&amp;IF('Visit Log'!AY228="Yes",", Craft Service","")&amp;IF('Visit Log'!AZ228="Yes",", Electrical","")&amp;IF('Visit Log'!BA228="Yes",", Greens","")&amp;IF('Visit Log'!BB228="Yes",", Grip","")&amp;IF('Visit Log'!BC228="Yes",", Locations","")&amp;IF('Visit Log'!BD228="Yes",", Medic","")&amp;IF('Visit Log'!BE228="Yes",", Paint","")&amp;IF('Visit Log'!BF228="Yes",", Plaster","")&amp;IF('Visit Log'!BG228="Yes",", Props","")&amp;IF('Visit Log'!BH228="Yes",", Set Dec","")&amp;IF('Visit Log'!BI228="Yes",", Set Teacher","")&amp;IF('Visit Log'!BJ228="Yes",", Sound","")&amp;IF('Visit Log'!BK228="Yes",", SPFX","")&amp;IF('Visit Log'!BL228="Yes",", Video",""))="","",MID(IF('Visit Log'!AV228="Yes",", Art","")&amp;IF('Visit Log'!AW228="Yes",", Construction","")&amp;IF('Visit Log'!AX228="Yes",", Costumes","")&amp;IF('Visit Log'!AY228="Yes",", Craft Service","")&amp;IF('Visit Log'!AZ228="Yes",", Electrical","")&amp;IF('Visit Log'!BA228="Yes",", Greens","")&amp;IF('Visit Log'!BB228="Yes",", Grip","")&amp;IF('Visit Log'!BC228="Yes",", Locations","")&amp;IF('Visit Log'!BD228="Yes",", Medic","")&amp;IF('Visit Log'!BE228="Yes",", Paint","")&amp;IF('Visit Log'!BF228="Yes",", Plaster","")&amp;IF('Visit Log'!BG228="Yes",", Props","")&amp;IF('Visit Log'!BH228="Yes",", Set Dec","")&amp;IF('Visit Log'!BI228="Yes",", Set Teacher","")&amp;IF('Visit Log'!BJ228="Yes",", Sound","")&amp;IF('Visit Log'!BK228="Yes",", SPFX","")&amp;IF('Visit Log'!BL228="Yes",", Video",""),3,300)))</f>
        <v/>
      </c>
      <c r="F228" s="28">
        <f>IF('Visit Log'!C228="","",'Visit Log'!T228)</f>
        <v/>
      </c>
    </row>
    <row r="229">
      <c r="A229" s="32">
        <f>IF('Visit Log'!C229="","",'Visit Log'!A229)</f>
        <v/>
      </c>
      <c r="B229" s="32">
        <f>IF('Visit Log'!C229="","",'Visit Log'!C229)</f>
        <v/>
      </c>
      <c r="C229" s="32">
        <f>IF('Visit Log'!C229="","",'Visit Log'!D229)</f>
        <v/>
      </c>
      <c r="D229" s="33">
        <f>IF('Visit Log'!C229="","",'Visit Log'!B229)</f>
        <v/>
      </c>
      <c r="E229" s="32">
        <f>IF('Visit Log'!C229="","",IF((IF('Visit Log'!AV229="Yes",", Art","")&amp;IF('Visit Log'!AW229="Yes",", Construction","")&amp;IF('Visit Log'!AX229="Yes",", Costumes","")&amp;IF('Visit Log'!AY229="Yes",", Craft Service","")&amp;IF('Visit Log'!AZ229="Yes",", Electrical","")&amp;IF('Visit Log'!BA229="Yes",", Greens","")&amp;IF('Visit Log'!BB229="Yes",", Grip","")&amp;IF('Visit Log'!BC229="Yes",", Locations","")&amp;IF('Visit Log'!BD229="Yes",", Medic","")&amp;IF('Visit Log'!BE229="Yes",", Paint","")&amp;IF('Visit Log'!BF229="Yes",", Plaster","")&amp;IF('Visit Log'!BG229="Yes",", Props","")&amp;IF('Visit Log'!BH229="Yes",", Set Dec","")&amp;IF('Visit Log'!BI229="Yes",", Set Teacher","")&amp;IF('Visit Log'!BJ229="Yes",", Sound","")&amp;IF('Visit Log'!BK229="Yes",", SPFX","")&amp;IF('Visit Log'!BL229="Yes",", Video",""))="","",MID(IF('Visit Log'!AV229="Yes",", Art","")&amp;IF('Visit Log'!AW229="Yes",", Construction","")&amp;IF('Visit Log'!AX229="Yes",", Costumes","")&amp;IF('Visit Log'!AY229="Yes",", Craft Service","")&amp;IF('Visit Log'!AZ229="Yes",", Electrical","")&amp;IF('Visit Log'!BA229="Yes",", Greens","")&amp;IF('Visit Log'!BB229="Yes",", Grip","")&amp;IF('Visit Log'!BC229="Yes",", Locations","")&amp;IF('Visit Log'!BD229="Yes",", Medic","")&amp;IF('Visit Log'!BE229="Yes",", Paint","")&amp;IF('Visit Log'!BF229="Yes",", Plaster","")&amp;IF('Visit Log'!BG229="Yes",", Props","")&amp;IF('Visit Log'!BH229="Yes",", Set Dec","")&amp;IF('Visit Log'!BI229="Yes",", Set Teacher","")&amp;IF('Visit Log'!BJ229="Yes",", Sound","")&amp;IF('Visit Log'!BK229="Yes",", SPFX","")&amp;IF('Visit Log'!BL229="Yes",", Video",""),3,300)))</f>
        <v/>
      </c>
      <c r="F229" s="32">
        <f>IF('Visit Log'!C229="","",'Visit Log'!T229)</f>
        <v/>
      </c>
    </row>
    <row r="230">
      <c r="A230" s="28">
        <f>IF('Visit Log'!C230="","",'Visit Log'!A230)</f>
        <v/>
      </c>
      <c r="B230" s="28">
        <f>IF('Visit Log'!C230="","",'Visit Log'!C230)</f>
        <v/>
      </c>
      <c r="C230" s="28">
        <f>IF('Visit Log'!C230="","",'Visit Log'!D230)</f>
        <v/>
      </c>
      <c r="D230" s="29">
        <f>IF('Visit Log'!C230="","",'Visit Log'!B230)</f>
        <v/>
      </c>
      <c r="E230" s="28">
        <f>IF('Visit Log'!C230="","",IF((IF('Visit Log'!AV230="Yes",", Art","")&amp;IF('Visit Log'!AW230="Yes",", Construction","")&amp;IF('Visit Log'!AX230="Yes",", Costumes","")&amp;IF('Visit Log'!AY230="Yes",", Craft Service","")&amp;IF('Visit Log'!AZ230="Yes",", Electrical","")&amp;IF('Visit Log'!BA230="Yes",", Greens","")&amp;IF('Visit Log'!BB230="Yes",", Grip","")&amp;IF('Visit Log'!BC230="Yes",", Locations","")&amp;IF('Visit Log'!BD230="Yes",", Medic","")&amp;IF('Visit Log'!BE230="Yes",", Paint","")&amp;IF('Visit Log'!BF230="Yes",", Plaster","")&amp;IF('Visit Log'!BG230="Yes",", Props","")&amp;IF('Visit Log'!BH230="Yes",", Set Dec","")&amp;IF('Visit Log'!BI230="Yes",", Set Teacher","")&amp;IF('Visit Log'!BJ230="Yes",", Sound","")&amp;IF('Visit Log'!BK230="Yes",", SPFX","")&amp;IF('Visit Log'!BL230="Yes",", Video",""))="","",MID(IF('Visit Log'!AV230="Yes",", Art","")&amp;IF('Visit Log'!AW230="Yes",", Construction","")&amp;IF('Visit Log'!AX230="Yes",", Costumes","")&amp;IF('Visit Log'!AY230="Yes",", Craft Service","")&amp;IF('Visit Log'!AZ230="Yes",", Electrical","")&amp;IF('Visit Log'!BA230="Yes",", Greens","")&amp;IF('Visit Log'!BB230="Yes",", Grip","")&amp;IF('Visit Log'!BC230="Yes",", Locations","")&amp;IF('Visit Log'!BD230="Yes",", Medic","")&amp;IF('Visit Log'!BE230="Yes",", Paint","")&amp;IF('Visit Log'!BF230="Yes",", Plaster","")&amp;IF('Visit Log'!BG230="Yes",", Props","")&amp;IF('Visit Log'!BH230="Yes",", Set Dec","")&amp;IF('Visit Log'!BI230="Yes",", Set Teacher","")&amp;IF('Visit Log'!BJ230="Yes",", Sound","")&amp;IF('Visit Log'!BK230="Yes",", SPFX","")&amp;IF('Visit Log'!BL230="Yes",", Video",""),3,300)))</f>
        <v/>
      </c>
      <c r="F230" s="28">
        <f>IF('Visit Log'!C230="","",'Visit Log'!T230)</f>
        <v/>
      </c>
    </row>
    <row r="231">
      <c r="A231" s="32">
        <f>IF('Visit Log'!C231="","",'Visit Log'!A231)</f>
        <v/>
      </c>
      <c r="B231" s="32">
        <f>IF('Visit Log'!C231="","",'Visit Log'!C231)</f>
        <v/>
      </c>
      <c r="C231" s="32">
        <f>IF('Visit Log'!C231="","",'Visit Log'!D231)</f>
        <v/>
      </c>
      <c r="D231" s="33">
        <f>IF('Visit Log'!C231="","",'Visit Log'!B231)</f>
        <v/>
      </c>
      <c r="E231" s="32">
        <f>IF('Visit Log'!C231="","",IF((IF('Visit Log'!AV231="Yes",", Art","")&amp;IF('Visit Log'!AW231="Yes",", Construction","")&amp;IF('Visit Log'!AX231="Yes",", Costumes","")&amp;IF('Visit Log'!AY231="Yes",", Craft Service","")&amp;IF('Visit Log'!AZ231="Yes",", Electrical","")&amp;IF('Visit Log'!BA231="Yes",", Greens","")&amp;IF('Visit Log'!BB231="Yes",", Grip","")&amp;IF('Visit Log'!BC231="Yes",", Locations","")&amp;IF('Visit Log'!BD231="Yes",", Medic","")&amp;IF('Visit Log'!BE231="Yes",", Paint","")&amp;IF('Visit Log'!BF231="Yes",", Plaster","")&amp;IF('Visit Log'!BG231="Yes",", Props","")&amp;IF('Visit Log'!BH231="Yes",", Set Dec","")&amp;IF('Visit Log'!BI231="Yes",", Set Teacher","")&amp;IF('Visit Log'!BJ231="Yes",", Sound","")&amp;IF('Visit Log'!BK231="Yes",", SPFX","")&amp;IF('Visit Log'!BL231="Yes",", Video",""))="","",MID(IF('Visit Log'!AV231="Yes",", Art","")&amp;IF('Visit Log'!AW231="Yes",", Construction","")&amp;IF('Visit Log'!AX231="Yes",", Costumes","")&amp;IF('Visit Log'!AY231="Yes",", Craft Service","")&amp;IF('Visit Log'!AZ231="Yes",", Electrical","")&amp;IF('Visit Log'!BA231="Yes",", Greens","")&amp;IF('Visit Log'!BB231="Yes",", Grip","")&amp;IF('Visit Log'!BC231="Yes",", Locations","")&amp;IF('Visit Log'!BD231="Yes",", Medic","")&amp;IF('Visit Log'!BE231="Yes",", Paint","")&amp;IF('Visit Log'!BF231="Yes",", Plaster","")&amp;IF('Visit Log'!BG231="Yes",", Props","")&amp;IF('Visit Log'!BH231="Yes",", Set Dec","")&amp;IF('Visit Log'!BI231="Yes",", Set Teacher","")&amp;IF('Visit Log'!BJ231="Yes",", Sound","")&amp;IF('Visit Log'!BK231="Yes",", SPFX","")&amp;IF('Visit Log'!BL231="Yes",", Video",""),3,300)))</f>
        <v/>
      </c>
      <c r="F231" s="32">
        <f>IF('Visit Log'!C231="","",'Visit Log'!T231)</f>
        <v/>
      </c>
    </row>
    <row r="232">
      <c r="A232" s="28">
        <f>IF('Visit Log'!C232="","",'Visit Log'!A232)</f>
        <v/>
      </c>
      <c r="B232" s="28">
        <f>IF('Visit Log'!C232="","",'Visit Log'!C232)</f>
        <v/>
      </c>
      <c r="C232" s="28">
        <f>IF('Visit Log'!C232="","",'Visit Log'!D232)</f>
        <v/>
      </c>
      <c r="D232" s="29">
        <f>IF('Visit Log'!C232="","",'Visit Log'!B232)</f>
        <v/>
      </c>
      <c r="E232" s="28">
        <f>IF('Visit Log'!C232="","",IF((IF('Visit Log'!AV232="Yes",", Art","")&amp;IF('Visit Log'!AW232="Yes",", Construction","")&amp;IF('Visit Log'!AX232="Yes",", Costumes","")&amp;IF('Visit Log'!AY232="Yes",", Craft Service","")&amp;IF('Visit Log'!AZ232="Yes",", Electrical","")&amp;IF('Visit Log'!BA232="Yes",", Greens","")&amp;IF('Visit Log'!BB232="Yes",", Grip","")&amp;IF('Visit Log'!BC232="Yes",", Locations","")&amp;IF('Visit Log'!BD232="Yes",", Medic","")&amp;IF('Visit Log'!BE232="Yes",", Paint","")&amp;IF('Visit Log'!BF232="Yes",", Plaster","")&amp;IF('Visit Log'!BG232="Yes",", Props","")&amp;IF('Visit Log'!BH232="Yes",", Set Dec","")&amp;IF('Visit Log'!BI232="Yes",", Set Teacher","")&amp;IF('Visit Log'!BJ232="Yes",", Sound","")&amp;IF('Visit Log'!BK232="Yes",", SPFX","")&amp;IF('Visit Log'!BL232="Yes",", Video",""))="","",MID(IF('Visit Log'!AV232="Yes",", Art","")&amp;IF('Visit Log'!AW232="Yes",", Construction","")&amp;IF('Visit Log'!AX232="Yes",", Costumes","")&amp;IF('Visit Log'!AY232="Yes",", Craft Service","")&amp;IF('Visit Log'!AZ232="Yes",", Electrical","")&amp;IF('Visit Log'!BA232="Yes",", Greens","")&amp;IF('Visit Log'!BB232="Yes",", Grip","")&amp;IF('Visit Log'!BC232="Yes",", Locations","")&amp;IF('Visit Log'!BD232="Yes",", Medic","")&amp;IF('Visit Log'!BE232="Yes",", Paint","")&amp;IF('Visit Log'!BF232="Yes",", Plaster","")&amp;IF('Visit Log'!BG232="Yes",", Props","")&amp;IF('Visit Log'!BH232="Yes",", Set Dec","")&amp;IF('Visit Log'!BI232="Yes",", Set Teacher","")&amp;IF('Visit Log'!BJ232="Yes",", Sound","")&amp;IF('Visit Log'!BK232="Yes",", SPFX","")&amp;IF('Visit Log'!BL232="Yes",", Video",""),3,300)))</f>
        <v/>
      </c>
      <c r="F232" s="28">
        <f>IF('Visit Log'!C232="","",'Visit Log'!T232)</f>
        <v/>
      </c>
    </row>
    <row r="233">
      <c r="A233" s="32">
        <f>IF('Visit Log'!C233="","",'Visit Log'!A233)</f>
        <v/>
      </c>
      <c r="B233" s="32">
        <f>IF('Visit Log'!C233="","",'Visit Log'!C233)</f>
        <v/>
      </c>
      <c r="C233" s="32">
        <f>IF('Visit Log'!C233="","",'Visit Log'!D233)</f>
        <v/>
      </c>
      <c r="D233" s="33">
        <f>IF('Visit Log'!C233="","",'Visit Log'!B233)</f>
        <v/>
      </c>
      <c r="E233" s="32">
        <f>IF('Visit Log'!C233="","",IF((IF('Visit Log'!AV233="Yes",", Art","")&amp;IF('Visit Log'!AW233="Yes",", Construction","")&amp;IF('Visit Log'!AX233="Yes",", Costumes","")&amp;IF('Visit Log'!AY233="Yes",", Craft Service","")&amp;IF('Visit Log'!AZ233="Yes",", Electrical","")&amp;IF('Visit Log'!BA233="Yes",", Greens","")&amp;IF('Visit Log'!BB233="Yes",", Grip","")&amp;IF('Visit Log'!BC233="Yes",", Locations","")&amp;IF('Visit Log'!BD233="Yes",", Medic","")&amp;IF('Visit Log'!BE233="Yes",", Paint","")&amp;IF('Visit Log'!BF233="Yes",", Plaster","")&amp;IF('Visit Log'!BG233="Yes",", Props","")&amp;IF('Visit Log'!BH233="Yes",", Set Dec","")&amp;IF('Visit Log'!BI233="Yes",", Set Teacher","")&amp;IF('Visit Log'!BJ233="Yes",", Sound","")&amp;IF('Visit Log'!BK233="Yes",", SPFX","")&amp;IF('Visit Log'!BL233="Yes",", Video",""))="","",MID(IF('Visit Log'!AV233="Yes",", Art","")&amp;IF('Visit Log'!AW233="Yes",", Construction","")&amp;IF('Visit Log'!AX233="Yes",", Costumes","")&amp;IF('Visit Log'!AY233="Yes",", Craft Service","")&amp;IF('Visit Log'!AZ233="Yes",", Electrical","")&amp;IF('Visit Log'!BA233="Yes",", Greens","")&amp;IF('Visit Log'!BB233="Yes",", Grip","")&amp;IF('Visit Log'!BC233="Yes",", Locations","")&amp;IF('Visit Log'!BD233="Yes",", Medic","")&amp;IF('Visit Log'!BE233="Yes",", Paint","")&amp;IF('Visit Log'!BF233="Yes",", Plaster","")&amp;IF('Visit Log'!BG233="Yes",", Props","")&amp;IF('Visit Log'!BH233="Yes",", Set Dec","")&amp;IF('Visit Log'!BI233="Yes",", Set Teacher","")&amp;IF('Visit Log'!BJ233="Yes",", Sound","")&amp;IF('Visit Log'!BK233="Yes",", SPFX","")&amp;IF('Visit Log'!BL233="Yes",", Video",""),3,300)))</f>
        <v/>
      </c>
      <c r="F233" s="32">
        <f>IF('Visit Log'!C233="","",'Visit Log'!T233)</f>
        <v/>
      </c>
    </row>
    <row r="234">
      <c r="A234" s="28">
        <f>IF('Visit Log'!C234="","",'Visit Log'!A234)</f>
        <v/>
      </c>
      <c r="B234" s="28">
        <f>IF('Visit Log'!C234="","",'Visit Log'!C234)</f>
        <v/>
      </c>
      <c r="C234" s="28">
        <f>IF('Visit Log'!C234="","",'Visit Log'!D234)</f>
        <v/>
      </c>
      <c r="D234" s="29">
        <f>IF('Visit Log'!C234="","",'Visit Log'!B234)</f>
        <v/>
      </c>
      <c r="E234" s="28">
        <f>IF('Visit Log'!C234="","",IF((IF('Visit Log'!AV234="Yes",", Art","")&amp;IF('Visit Log'!AW234="Yes",", Construction","")&amp;IF('Visit Log'!AX234="Yes",", Costumes","")&amp;IF('Visit Log'!AY234="Yes",", Craft Service","")&amp;IF('Visit Log'!AZ234="Yes",", Electrical","")&amp;IF('Visit Log'!BA234="Yes",", Greens","")&amp;IF('Visit Log'!BB234="Yes",", Grip","")&amp;IF('Visit Log'!BC234="Yes",", Locations","")&amp;IF('Visit Log'!BD234="Yes",", Medic","")&amp;IF('Visit Log'!BE234="Yes",", Paint","")&amp;IF('Visit Log'!BF234="Yes",", Plaster","")&amp;IF('Visit Log'!BG234="Yes",", Props","")&amp;IF('Visit Log'!BH234="Yes",", Set Dec","")&amp;IF('Visit Log'!BI234="Yes",", Set Teacher","")&amp;IF('Visit Log'!BJ234="Yes",", Sound","")&amp;IF('Visit Log'!BK234="Yes",", SPFX","")&amp;IF('Visit Log'!BL234="Yes",", Video",""))="","",MID(IF('Visit Log'!AV234="Yes",", Art","")&amp;IF('Visit Log'!AW234="Yes",", Construction","")&amp;IF('Visit Log'!AX234="Yes",", Costumes","")&amp;IF('Visit Log'!AY234="Yes",", Craft Service","")&amp;IF('Visit Log'!AZ234="Yes",", Electrical","")&amp;IF('Visit Log'!BA234="Yes",", Greens","")&amp;IF('Visit Log'!BB234="Yes",", Grip","")&amp;IF('Visit Log'!BC234="Yes",", Locations","")&amp;IF('Visit Log'!BD234="Yes",", Medic","")&amp;IF('Visit Log'!BE234="Yes",", Paint","")&amp;IF('Visit Log'!BF234="Yes",", Plaster","")&amp;IF('Visit Log'!BG234="Yes",", Props","")&amp;IF('Visit Log'!BH234="Yes",", Set Dec","")&amp;IF('Visit Log'!BI234="Yes",", Set Teacher","")&amp;IF('Visit Log'!BJ234="Yes",", Sound","")&amp;IF('Visit Log'!BK234="Yes",", SPFX","")&amp;IF('Visit Log'!BL234="Yes",", Video",""),3,300)))</f>
        <v/>
      </c>
      <c r="F234" s="28">
        <f>IF('Visit Log'!C234="","",'Visit Log'!T234)</f>
        <v/>
      </c>
    </row>
    <row r="235">
      <c r="A235" s="32">
        <f>IF('Visit Log'!C235="","",'Visit Log'!A235)</f>
        <v/>
      </c>
      <c r="B235" s="32">
        <f>IF('Visit Log'!C235="","",'Visit Log'!C235)</f>
        <v/>
      </c>
      <c r="C235" s="32">
        <f>IF('Visit Log'!C235="","",'Visit Log'!D235)</f>
        <v/>
      </c>
      <c r="D235" s="33">
        <f>IF('Visit Log'!C235="","",'Visit Log'!B235)</f>
        <v/>
      </c>
      <c r="E235" s="32">
        <f>IF('Visit Log'!C235="","",IF((IF('Visit Log'!AV235="Yes",", Art","")&amp;IF('Visit Log'!AW235="Yes",", Construction","")&amp;IF('Visit Log'!AX235="Yes",", Costumes","")&amp;IF('Visit Log'!AY235="Yes",", Craft Service","")&amp;IF('Visit Log'!AZ235="Yes",", Electrical","")&amp;IF('Visit Log'!BA235="Yes",", Greens","")&amp;IF('Visit Log'!BB235="Yes",", Grip","")&amp;IF('Visit Log'!BC235="Yes",", Locations","")&amp;IF('Visit Log'!BD235="Yes",", Medic","")&amp;IF('Visit Log'!BE235="Yes",", Paint","")&amp;IF('Visit Log'!BF235="Yes",", Plaster","")&amp;IF('Visit Log'!BG235="Yes",", Props","")&amp;IF('Visit Log'!BH235="Yes",", Set Dec","")&amp;IF('Visit Log'!BI235="Yes",", Set Teacher","")&amp;IF('Visit Log'!BJ235="Yes",", Sound","")&amp;IF('Visit Log'!BK235="Yes",", SPFX","")&amp;IF('Visit Log'!BL235="Yes",", Video",""))="","",MID(IF('Visit Log'!AV235="Yes",", Art","")&amp;IF('Visit Log'!AW235="Yes",", Construction","")&amp;IF('Visit Log'!AX235="Yes",", Costumes","")&amp;IF('Visit Log'!AY235="Yes",", Craft Service","")&amp;IF('Visit Log'!AZ235="Yes",", Electrical","")&amp;IF('Visit Log'!BA235="Yes",", Greens","")&amp;IF('Visit Log'!BB235="Yes",", Grip","")&amp;IF('Visit Log'!BC235="Yes",", Locations","")&amp;IF('Visit Log'!BD235="Yes",", Medic","")&amp;IF('Visit Log'!BE235="Yes",", Paint","")&amp;IF('Visit Log'!BF235="Yes",", Plaster","")&amp;IF('Visit Log'!BG235="Yes",", Props","")&amp;IF('Visit Log'!BH235="Yes",", Set Dec","")&amp;IF('Visit Log'!BI235="Yes",", Set Teacher","")&amp;IF('Visit Log'!BJ235="Yes",", Sound","")&amp;IF('Visit Log'!BK235="Yes",", SPFX","")&amp;IF('Visit Log'!BL235="Yes",", Video",""),3,300)))</f>
        <v/>
      </c>
      <c r="F235" s="32">
        <f>IF('Visit Log'!C235="","",'Visit Log'!T235)</f>
        <v/>
      </c>
    </row>
    <row r="236">
      <c r="A236" s="28">
        <f>IF('Visit Log'!C236="","",'Visit Log'!A236)</f>
        <v/>
      </c>
      <c r="B236" s="28">
        <f>IF('Visit Log'!C236="","",'Visit Log'!C236)</f>
        <v/>
      </c>
      <c r="C236" s="28">
        <f>IF('Visit Log'!C236="","",'Visit Log'!D236)</f>
        <v/>
      </c>
      <c r="D236" s="29">
        <f>IF('Visit Log'!C236="","",'Visit Log'!B236)</f>
        <v/>
      </c>
      <c r="E236" s="28">
        <f>IF('Visit Log'!C236="","",IF((IF('Visit Log'!AV236="Yes",", Art","")&amp;IF('Visit Log'!AW236="Yes",", Construction","")&amp;IF('Visit Log'!AX236="Yes",", Costumes","")&amp;IF('Visit Log'!AY236="Yes",", Craft Service","")&amp;IF('Visit Log'!AZ236="Yes",", Electrical","")&amp;IF('Visit Log'!BA236="Yes",", Greens","")&amp;IF('Visit Log'!BB236="Yes",", Grip","")&amp;IF('Visit Log'!BC236="Yes",", Locations","")&amp;IF('Visit Log'!BD236="Yes",", Medic","")&amp;IF('Visit Log'!BE236="Yes",", Paint","")&amp;IF('Visit Log'!BF236="Yes",", Plaster","")&amp;IF('Visit Log'!BG236="Yes",", Props","")&amp;IF('Visit Log'!BH236="Yes",", Set Dec","")&amp;IF('Visit Log'!BI236="Yes",", Set Teacher","")&amp;IF('Visit Log'!BJ236="Yes",", Sound","")&amp;IF('Visit Log'!BK236="Yes",", SPFX","")&amp;IF('Visit Log'!BL236="Yes",", Video",""))="","",MID(IF('Visit Log'!AV236="Yes",", Art","")&amp;IF('Visit Log'!AW236="Yes",", Construction","")&amp;IF('Visit Log'!AX236="Yes",", Costumes","")&amp;IF('Visit Log'!AY236="Yes",", Craft Service","")&amp;IF('Visit Log'!AZ236="Yes",", Electrical","")&amp;IF('Visit Log'!BA236="Yes",", Greens","")&amp;IF('Visit Log'!BB236="Yes",", Grip","")&amp;IF('Visit Log'!BC236="Yes",", Locations","")&amp;IF('Visit Log'!BD236="Yes",", Medic","")&amp;IF('Visit Log'!BE236="Yes",", Paint","")&amp;IF('Visit Log'!BF236="Yes",", Plaster","")&amp;IF('Visit Log'!BG236="Yes",", Props","")&amp;IF('Visit Log'!BH236="Yes",", Set Dec","")&amp;IF('Visit Log'!BI236="Yes",", Set Teacher","")&amp;IF('Visit Log'!BJ236="Yes",", Sound","")&amp;IF('Visit Log'!BK236="Yes",", SPFX","")&amp;IF('Visit Log'!BL236="Yes",", Video",""),3,300)))</f>
        <v/>
      </c>
      <c r="F236" s="28">
        <f>IF('Visit Log'!C236="","",'Visit Log'!T236)</f>
        <v/>
      </c>
    </row>
    <row r="237">
      <c r="A237" s="32">
        <f>IF('Visit Log'!C237="","",'Visit Log'!A237)</f>
        <v/>
      </c>
      <c r="B237" s="32">
        <f>IF('Visit Log'!C237="","",'Visit Log'!C237)</f>
        <v/>
      </c>
      <c r="C237" s="32">
        <f>IF('Visit Log'!C237="","",'Visit Log'!D237)</f>
        <v/>
      </c>
      <c r="D237" s="33">
        <f>IF('Visit Log'!C237="","",'Visit Log'!B237)</f>
        <v/>
      </c>
      <c r="E237" s="32">
        <f>IF('Visit Log'!C237="","",IF((IF('Visit Log'!AV237="Yes",", Art","")&amp;IF('Visit Log'!AW237="Yes",", Construction","")&amp;IF('Visit Log'!AX237="Yes",", Costumes","")&amp;IF('Visit Log'!AY237="Yes",", Craft Service","")&amp;IF('Visit Log'!AZ237="Yes",", Electrical","")&amp;IF('Visit Log'!BA237="Yes",", Greens","")&amp;IF('Visit Log'!BB237="Yes",", Grip","")&amp;IF('Visit Log'!BC237="Yes",", Locations","")&amp;IF('Visit Log'!BD237="Yes",", Medic","")&amp;IF('Visit Log'!BE237="Yes",", Paint","")&amp;IF('Visit Log'!BF237="Yes",", Plaster","")&amp;IF('Visit Log'!BG237="Yes",", Props","")&amp;IF('Visit Log'!BH237="Yes",", Set Dec","")&amp;IF('Visit Log'!BI237="Yes",", Set Teacher","")&amp;IF('Visit Log'!BJ237="Yes",", Sound","")&amp;IF('Visit Log'!BK237="Yes",", SPFX","")&amp;IF('Visit Log'!BL237="Yes",", Video",""))="","",MID(IF('Visit Log'!AV237="Yes",", Art","")&amp;IF('Visit Log'!AW237="Yes",", Construction","")&amp;IF('Visit Log'!AX237="Yes",", Costumes","")&amp;IF('Visit Log'!AY237="Yes",", Craft Service","")&amp;IF('Visit Log'!AZ237="Yes",", Electrical","")&amp;IF('Visit Log'!BA237="Yes",", Greens","")&amp;IF('Visit Log'!BB237="Yes",", Grip","")&amp;IF('Visit Log'!BC237="Yes",", Locations","")&amp;IF('Visit Log'!BD237="Yes",", Medic","")&amp;IF('Visit Log'!BE237="Yes",", Paint","")&amp;IF('Visit Log'!BF237="Yes",", Plaster","")&amp;IF('Visit Log'!BG237="Yes",", Props","")&amp;IF('Visit Log'!BH237="Yes",", Set Dec","")&amp;IF('Visit Log'!BI237="Yes",", Set Teacher","")&amp;IF('Visit Log'!BJ237="Yes",", Sound","")&amp;IF('Visit Log'!BK237="Yes",", SPFX","")&amp;IF('Visit Log'!BL237="Yes",", Video",""),3,300)))</f>
        <v/>
      </c>
      <c r="F237" s="32">
        <f>IF('Visit Log'!C237="","",'Visit Log'!T237)</f>
        <v/>
      </c>
    </row>
    <row r="238">
      <c r="A238" s="28">
        <f>IF('Visit Log'!C238="","",'Visit Log'!A238)</f>
        <v/>
      </c>
      <c r="B238" s="28">
        <f>IF('Visit Log'!C238="","",'Visit Log'!C238)</f>
        <v/>
      </c>
      <c r="C238" s="28">
        <f>IF('Visit Log'!C238="","",'Visit Log'!D238)</f>
        <v/>
      </c>
      <c r="D238" s="29">
        <f>IF('Visit Log'!C238="","",'Visit Log'!B238)</f>
        <v/>
      </c>
      <c r="E238" s="28">
        <f>IF('Visit Log'!C238="","",IF((IF('Visit Log'!AV238="Yes",", Art","")&amp;IF('Visit Log'!AW238="Yes",", Construction","")&amp;IF('Visit Log'!AX238="Yes",", Costumes","")&amp;IF('Visit Log'!AY238="Yes",", Craft Service","")&amp;IF('Visit Log'!AZ238="Yes",", Electrical","")&amp;IF('Visit Log'!BA238="Yes",", Greens","")&amp;IF('Visit Log'!BB238="Yes",", Grip","")&amp;IF('Visit Log'!BC238="Yes",", Locations","")&amp;IF('Visit Log'!BD238="Yes",", Medic","")&amp;IF('Visit Log'!BE238="Yes",", Paint","")&amp;IF('Visit Log'!BF238="Yes",", Plaster","")&amp;IF('Visit Log'!BG238="Yes",", Props","")&amp;IF('Visit Log'!BH238="Yes",", Set Dec","")&amp;IF('Visit Log'!BI238="Yes",", Set Teacher","")&amp;IF('Visit Log'!BJ238="Yes",", Sound","")&amp;IF('Visit Log'!BK238="Yes",", SPFX","")&amp;IF('Visit Log'!BL238="Yes",", Video",""))="","",MID(IF('Visit Log'!AV238="Yes",", Art","")&amp;IF('Visit Log'!AW238="Yes",", Construction","")&amp;IF('Visit Log'!AX238="Yes",", Costumes","")&amp;IF('Visit Log'!AY238="Yes",", Craft Service","")&amp;IF('Visit Log'!AZ238="Yes",", Electrical","")&amp;IF('Visit Log'!BA238="Yes",", Greens","")&amp;IF('Visit Log'!BB238="Yes",", Grip","")&amp;IF('Visit Log'!BC238="Yes",", Locations","")&amp;IF('Visit Log'!BD238="Yes",", Medic","")&amp;IF('Visit Log'!BE238="Yes",", Paint","")&amp;IF('Visit Log'!BF238="Yes",", Plaster","")&amp;IF('Visit Log'!BG238="Yes",", Props","")&amp;IF('Visit Log'!BH238="Yes",", Set Dec","")&amp;IF('Visit Log'!BI238="Yes",", Set Teacher","")&amp;IF('Visit Log'!BJ238="Yes",", Sound","")&amp;IF('Visit Log'!BK238="Yes",", SPFX","")&amp;IF('Visit Log'!BL238="Yes",", Video",""),3,300)))</f>
        <v/>
      </c>
      <c r="F238" s="28">
        <f>IF('Visit Log'!C238="","",'Visit Log'!T238)</f>
        <v/>
      </c>
    </row>
    <row r="239">
      <c r="A239" s="32">
        <f>IF('Visit Log'!C239="","",'Visit Log'!A239)</f>
        <v/>
      </c>
      <c r="B239" s="32">
        <f>IF('Visit Log'!C239="","",'Visit Log'!C239)</f>
        <v/>
      </c>
      <c r="C239" s="32">
        <f>IF('Visit Log'!C239="","",'Visit Log'!D239)</f>
        <v/>
      </c>
      <c r="D239" s="33">
        <f>IF('Visit Log'!C239="","",'Visit Log'!B239)</f>
        <v/>
      </c>
      <c r="E239" s="32">
        <f>IF('Visit Log'!C239="","",IF((IF('Visit Log'!AV239="Yes",", Art","")&amp;IF('Visit Log'!AW239="Yes",", Construction","")&amp;IF('Visit Log'!AX239="Yes",", Costumes","")&amp;IF('Visit Log'!AY239="Yes",", Craft Service","")&amp;IF('Visit Log'!AZ239="Yes",", Electrical","")&amp;IF('Visit Log'!BA239="Yes",", Greens","")&amp;IF('Visit Log'!BB239="Yes",", Grip","")&amp;IF('Visit Log'!BC239="Yes",", Locations","")&amp;IF('Visit Log'!BD239="Yes",", Medic","")&amp;IF('Visit Log'!BE239="Yes",", Paint","")&amp;IF('Visit Log'!BF239="Yes",", Plaster","")&amp;IF('Visit Log'!BG239="Yes",", Props","")&amp;IF('Visit Log'!BH239="Yes",", Set Dec","")&amp;IF('Visit Log'!BI239="Yes",", Set Teacher","")&amp;IF('Visit Log'!BJ239="Yes",", Sound","")&amp;IF('Visit Log'!BK239="Yes",", SPFX","")&amp;IF('Visit Log'!BL239="Yes",", Video",""))="","",MID(IF('Visit Log'!AV239="Yes",", Art","")&amp;IF('Visit Log'!AW239="Yes",", Construction","")&amp;IF('Visit Log'!AX239="Yes",", Costumes","")&amp;IF('Visit Log'!AY239="Yes",", Craft Service","")&amp;IF('Visit Log'!AZ239="Yes",", Electrical","")&amp;IF('Visit Log'!BA239="Yes",", Greens","")&amp;IF('Visit Log'!BB239="Yes",", Grip","")&amp;IF('Visit Log'!BC239="Yes",", Locations","")&amp;IF('Visit Log'!BD239="Yes",", Medic","")&amp;IF('Visit Log'!BE239="Yes",", Paint","")&amp;IF('Visit Log'!BF239="Yes",", Plaster","")&amp;IF('Visit Log'!BG239="Yes",", Props","")&amp;IF('Visit Log'!BH239="Yes",", Set Dec","")&amp;IF('Visit Log'!BI239="Yes",", Set Teacher","")&amp;IF('Visit Log'!BJ239="Yes",", Sound","")&amp;IF('Visit Log'!BK239="Yes",", SPFX","")&amp;IF('Visit Log'!BL239="Yes",", Video",""),3,300)))</f>
        <v/>
      </c>
      <c r="F239" s="32">
        <f>IF('Visit Log'!C239="","",'Visit Log'!T239)</f>
        <v/>
      </c>
    </row>
    <row r="240">
      <c r="A240" s="28">
        <f>IF('Visit Log'!C240="","",'Visit Log'!A240)</f>
        <v/>
      </c>
      <c r="B240" s="28">
        <f>IF('Visit Log'!C240="","",'Visit Log'!C240)</f>
        <v/>
      </c>
      <c r="C240" s="28">
        <f>IF('Visit Log'!C240="","",'Visit Log'!D240)</f>
        <v/>
      </c>
      <c r="D240" s="29">
        <f>IF('Visit Log'!C240="","",'Visit Log'!B240)</f>
        <v/>
      </c>
      <c r="E240" s="28">
        <f>IF('Visit Log'!C240="","",IF((IF('Visit Log'!AV240="Yes",", Art","")&amp;IF('Visit Log'!AW240="Yes",", Construction","")&amp;IF('Visit Log'!AX240="Yes",", Costumes","")&amp;IF('Visit Log'!AY240="Yes",", Craft Service","")&amp;IF('Visit Log'!AZ240="Yes",", Electrical","")&amp;IF('Visit Log'!BA240="Yes",", Greens","")&amp;IF('Visit Log'!BB240="Yes",", Grip","")&amp;IF('Visit Log'!BC240="Yes",", Locations","")&amp;IF('Visit Log'!BD240="Yes",", Medic","")&amp;IF('Visit Log'!BE240="Yes",", Paint","")&amp;IF('Visit Log'!BF240="Yes",", Plaster","")&amp;IF('Visit Log'!BG240="Yes",", Props","")&amp;IF('Visit Log'!BH240="Yes",", Set Dec","")&amp;IF('Visit Log'!BI240="Yes",", Set Teacher","")&amp;IF('Visit Log'!BJ240="Yes",", Sound","")&amp;IF('Visit Log'!BK240="Yes",", SPFX","")&amp;IF('Visit Log'!BL240="Yes",", Video",""))="","",MID(IF('Visit Log'!AV240="Yes",", Art","")&amp;IF('Visit Log'!AW240="Yes",", Construction","")&amp;IF('Visit Log'!AX240="Yes",", Costumes","")&amp;IF('Visit Log'!AY240="Yes",", Craft Service","")&amp;IF('Visit Log'!AZ240="Yes",", Electrical","")&amp;IF('Visit Log'!BA240="Yes",", Greens","")&amp;IF('Visit Log'!BB240="Yes",", Grip","")&amp;IF('Visit Log'!BC240="Yes",", Locations","")&amp;IF('Visit Log'!BD240="Yes",", Medic","")&amp;IF('Visit Log'!BE240="Yes",", Paint","")&amp;IF('Visit Log'!BF240="Yes",", Plaster","")&amp;IF('Visit Log'!BG240="Yes",", Props","")&amp;IF('Visit Log'!BH240="Yes",", Set Dec","")&amp;IF('Visit Log'!BI240="Yes",", Set Teacher","")&amp;IF('Visit Log'!BJ240="Yes",", Sound","")&amp;IF('Visit Log'!BK240="Yes",", SPFX","")&amp;IF('Visit Log'!BL240="Yes",", Video",""),3,300)))</f>
        <v/>
      </c>
      <c r="F240" s="28">
        <f>IF('Visit Log'!C240="","",'Visit Log'!T240)</f>
        <v/>
      </c>
    </row>
    <row r="241">
      <c r="A241" s="32">
        <f>IF('Visit Log'!C241="","",'Visit Log'!A241)</f>
        <v/>
      </c>
      <c r="B241" s="32">
        <f>IF('Visit Log'!C241="","",'Visit Log'!C241)</f>
        <v/>
      </c>
      <c r="C241" s="32">
        <f>IF('Visit Log'!C241="","",'Visit Log'!D241)</f>
        <v/>
      </c>
      <c r="D241" s="33">
        <f>IF('Visit Log'!C241="","",'Visit Log'!B241)</f>
        <v/>
      </c>
      <c r="E241" s="32">
        <f>IF('Visit Log'!C241="","",IF((IF('Visit Log'!AV241="Yes",", Art","")&amp;IF('Visit Log'!AW241="Yes",", Construction","")&amp;IF('Visit Log'!AX241="Yes",", Costumes","")&amp;IF('Visit Log'!AY241="Yes",", Craft Service","")&amp;IF('Visit Log'!AZ241="Yes",", Electrical","")&amp;IF('Visit Log'!BA241="Yes",", Greens","")&amp;IF('Visit Log'!BB241="Yes",", Grip","")&amp;IF('Visit Log'!BC241="Yes",", Locations","")&amp;IF('Visit Log'!BD241="Yes",", Medic","")&amp;IF('Visit Log'!BE241="Yes",", Paint","")&amp;IF('Visit Log'!BF241="Yes",", Plaster","")&amp;IF('Visit Log'!BG241="Yes",", Props","")&amp;IF('Visit Log'!BH241="Yes",", Set Dec","")&amp;IF('Visit Log'!BI241="Yes",", Set Teacher","")&amp;IF('Visit Log'!BJ241="Yes",", Sound","")&amp;IF('Visit Log'!BK241="Yes",", SPFX","")&amp;IF('Visit Log'!BL241="Yes",", Video",""))="","",MID(IF('Visit Log'!AV241="Yes",", Art","")&amp;IF('Visit Log'!AW241="Yes",", Construction","")&amp;IF('Visit Log'!AX241="Yes",", Costumes","")&amp;IF('Visit Log'!AY241="Yes",", Craft Service","")&amp;IF('Visit Log'!AZ241="Yes",", Electrical","")&amp;IF('Visit Log'!BA241="Yes",", Greens","")&amp;IF('Visit Log'!BB241="Yes",", Grip","")&amp;IF('Visit Log'!BC241="Yes",", Locations","")&amp;IF('Visit Log'!BD241="Yes",", Medic","")&amp;IF('Visit Log'!BE241="Yes",", Paint","")&amp;IF('Visit Log'!BF241="Yes",", Plaster","")&amp;IF('Visit Log'!BG241="Yes",", Props","")&amp;IF('Visit Log'!BH241="Yes",", Set Dec","")&amp;IF('Visit Log'!BI241="Yes",", Set Teacher","")&amp;IF('Visit Log'!BJ241="Yes",", Sound","")&amp;IF('Visit Log'!BK241="Yes",", SPFX","")&amp;IF('Visit Log'!BL241="Yes",", Video",""),3,300)))</f>
        <v/>
      </c>
      <c r="F241" s="32">
        <f>IF('Visit Log'!C241="","",'Visit Log'!T241)</f>
        <v/>
      </c>
    </row>
    <row r="242">
      <c r="A242" s="28">
        <f>IF('Visit Log'!C242="","",'Visit Log'!A242)</f>
        <v/>
      </c>
      <c r="B242" s="28">
        <f>IF('Visit Log'!C242="","",'Visit Log'!C242)</f>
        <v/>
      </c>
      <c r="C242" s="28">
        <f>IF('Visit Log'!C242="","",'Visit Log'!D242)</f>
        <v/>
      </c>
      <c r="D242" s="29">
        <f>IF('Visit Log'!C242="","",'Visit Log'!B242)</f>
        <v/>
      </c>
      <c r="E242" s="28">
        <f>IF('Visit Log'!C242="","",IF((IF('Visit Log'!AV242="Yes",", Art","")&amp;IF('Visit Log'!AW242="Yes",", Construction","")&amp;IF('Visit Log'!AX242="Yes",", Costumes","")&amp;IF('Visit Log'!AY242="Yes",", Craft Service","")&amp;IF('Visit Log'!AZ242="Yes",", Electrical","")&amp;IF('Visit Log'!BA242="Yes",", Greens","")&amp;IF('Visit Log'!BB242="Yes",", Grip","")&amp;IF('Visit Log'!BC242="Yes",", Locations","")&amp;IF('Visit Log'!BD242="Yes",", Medic","")&amp;IF('Visit Log'!BE242="Yes",", Paint","")&amp;IF('Visit Log'!BF242="Yes",", Plaster","")&amp;IF('Visit Log'!BG242="Yes",", Props","")&amp;IF('Visit Log'!BH242="Yes",", Set Dec","")&amp;IF('Visit Log'!BI242="Yes",", Set Teacher","")&amp;IF('Visit Log'!BJ242="Yes",", Sound","")&amp;IF('Visit Log'!BK242="Yes",", SPFX","")&amp;IF('Visit Log'!BL242="Yes",", Video",""))="","",MID(IF('Visit Log'!AV242="Yes",", Art","")&amp;IF('Visit Log'!AW242="Yes",", Construction","")&amp;IF('Visit Log'!AX242="Yes",", Costumes","")&amp;IF('Visit Log'!AY242="Yes",", Craft Service","")&amp;IF('Visit Log'!AZ242="Yes",", Electrical","")&amp;IF('Visit Log'!BA242="Yes",", Greens","")&amp;IF('Visit Log'!BB242="Yes",", Grip","")&amp;IF('Visit Log'!BC242="Yes",", Locations","")&amp;IF('Visit Log'!BD242="Yes",", Medic","")&amp;IF('Visit Log'!BE242="Yes",", Paint","")&amp;IF('Visit Log'!BF242="Yes",", Plaster","")&amp;IF('Visit Log'!BG242="Yes",", Props","")&amp;IF('Visit Log'!BH242="Yes",", Set Dec","")&amp;IF('Visit Log'!BI242="Yes",", Set Teacher","")&amp;IF('Visit Log'!BJ242="Yes",", Sound","")&amp;IF('Visit Log'!BK242="Yes",", SPFX","")&amp;IF('Visit Log'!BL242="Yes",", Video",""),3,300)))</f>
        <v/>
      </c>
      <c r="F242" s="28">
        <f>IF('Visit Log'!C242="","",'Visit Log'!T242)</f>
        <v/>
      </c>
    </row>
    <row r="243">
      <c r="A243" s="32">
        <f>IF('Visit Log'!C243="","",'Visit Log'!A243)</f>
        <v/>
      </c>
      <c r="B243" s="32">
        <f>IF('Visit Log'!C243="","",'Visit Log'!C243)</f>
        <v/>
      </c>
      <c r="C243" s="32">
        <f>IF('Visit Log'!C243="","",'Visit Log'!D243)</f>
        <v/>
      </c>
      <c r="D243" s="33">
        <f>IF('Visit Log'!C243="","",'Visit Log'!B243)</f>
        <v/>
      </c>
      <c r="E243" s="32">
        <f>IF('Visit Log'!C243="","",IF((IF('Visit Log'!AV243="Yes",", Art","")&amp;IF('Visit Log'!AW243="Yes",", Construction","")&amp;IF('Visit Log'!AX243="Yes",", Costumes","")&amp;IF('Visit Log'!AY243="Yes",", Craft Service","")&amp;IF('Visit Log'!AZ243="Yes",", Electrical","")&amp;IF('Visit Log'!BA243="Yes",", Greens","")&amp;IF('Visit Log'!BB243="Yes",", Grip","")&amp;IF('Visit Log'!BC243="Yes",", Locations","")&amp;IF('Visit Log'!BD243="Yes",", Medic","")&amp;IF('Visit Log'!BE243="Yes",", Paint","")&amp;IF('Visit Log'!BF243="Yes",", Plaster","")&amp;IF('Visit Log'!BG243="Yes",", Props","")&amp;IF('Visit Log'!BH243="Yes",", Set Dec","")&amp;IF('Visit Log'!BI243="Yes",", Set Teacher","")&amp;IF('Visit Log'!BJ243="Yes",", Sound","")&amp;IF('Visit Log'!BK243="Yes",", SPFX","")&amp;IF('Visit Log'!BL243="Yes",", Video",""))="","",MID(IF('Visit Log'!AV243="Yes",", Art","")&amp;IF('Visit Log'!AW243="Yes",", Construction","")&amp;IF('Visit Log'!AX243="Yes",", Costumes","")&amp;IF('Visit Log'!AY243="Yes",", Craft Service","")&amp;IF('Visit Log'!AZ243="Yes",", Electrical","")&amp;IF('Visit Log'!BA243="Yes",", Greens","")&amp;IF('Visit Log'!BB243="Yes",", Grip","")&amp;IF('Visit Log'!BC243="Yes",", Locations","")&amp;IF('Visit Log'!BD243="Yes",", Medic","")&amp;IF('Visit Log'!BE243="Yes",", Paint","")&amp;IF('Visit Log'!BF243="Yes",", Plaster","")&amp;IF('Visit Log'!BG243="Yes",", Props","")&amp;IF('Visit Log'!BH243="Yes",", Set Dec","")&amp;IF('Visit Log'!BI243="Yes",", Set Teacher","")&amp;IF('Visit Log'!BJ243="Yes",", Sound","")&amp;IF('Visit Log'!BK243="Yes",", SPFX","")&amp;IF('Visit Log'!BL243="Yes",", Video",""),3,300)))</f>
        <v/>
      </c>
      <c r="F243" s="32">
        <f>IF('Visit Log'!C243="","",'Visit Log'!T243)</f>
        <v/>
      </c>
    </row>
    <row r="244">
      <c r="A244" s="28">
        <f>IF('Visit Log'!C244="","",'Visit Log'!A244)</f>
        <v/>
      </c>
      <c r="B244" s="28">
        <f>IF('Visit Log'!C244="","",'Visit Log'!C244)</f>
        <v/>
      </c>
      <c r="C244" s="28">
        <f>IF('Visit Log'!C244="","",'Visit Log'!D244)</f>
        <v/>
      </c>
      <c r="D244" s="29">
        <f>IF('Visit Log'!C244="","",'Visit Log'!B244)</f>
        <v/>
      </c>
      <c r="E244" s="28">
        <f>IF('Visit Log'!C244="","",IF((IF('Visit Log'!AV244="Yes",", Art","")&amp;IF('Visit Log'!AW244="Yes",", Construction","")&amp;IF('Visit Log'!AX244="Yes",", Costumes","")&amp;IF('Visit Log'!AY244="Yes",", Craft Service","")&amp;IF('Visit Log'!AZ244="Yes",", Electrical","")&amp;IF('Visit Log'!BA244="Yes",", Greens","")&amp;IF('Visit Log'!BB244="Yes",", Grip","")&amp;IF('Visit Log'!BC244="Yes",", Locations","")&amp;IF('Visit Log'!BD244="Yes",", Medic","")&amp;IF('Visit Log'!BE244="Yes",", Paint","")&amp;IF('Visit Log'!BF244="Yes",", Plaster","")&amp;IF('Visit Log'!BG244="Yes",", Props","")&amp;IF('Visit Log'!BH244="Yes",", Set Dec","")&amp;IF('Visit Log'!BI244="Yes",", Set Teacher","")&amp;IF('Visit Log'!BJ244="Yes",", Sound","")&amp;IF('Visit Log'!BK244="Yes",", SPFX","")&amp;IF('Visit Log'!BL244="Yes",", Video",""))="","",MID(IF('Visit Log'!AV244="Yes",", Art","")&amp;IF('Visit Log'!AW244="Yes",", Construction","")&amp;IF('Visit Log'!AX244="Yes",", Costumes","")&amp;IF('Visit Log'!AY244="Yes",", Craft Service","")&amp;IF('Visit Log'!AZ244="Yes",", Electrical","")&amp;IF('Visit Log'!BA244="Yes",", Greens","")&amp;IF('Visit Log'!BB244="Yes",", Grip","")&amp;IF('Visit Log'!BC244="Yes",", Locations","")&amp;IF('Visit Log'!BD244="Yes",", Medic","")&amp;IF('Visit Log'!BE244="Yes",", Paint","")&amp;IF('Visit Log'!BF244="Yes",", Plaster","")&amp;IF('Visit Log'!BG244="Yes",", Props","")&amp;IF('Visit Log'!BH244="Yes",", Set Dec","")&amp;IF('Visit Log'!BI244="Yes",", Set Teacher","")&amp;IF('Visit Log'!BJ244="Yes",", Sound","")&amp;IF('Visit Log'!BK244="Yes",", SPFX","")&amp;IF('Visit Log'!BL244="Yes",", Video",""),3,300)))</f>
        <v/>
      </c>
      <c r="F244" s="28">
        <f>IF('Visit Log'!C244="","",'Visit Log'!T244)</f>
        <v/>
      </c>
    </row>
    <row r="245">
      <c r="A245" s="32">
        <f>IF('Visit Log'!C245="","",'Visit Log'!A245)</f>
        <v/>
      </c>
      <c r="B245" s="32">
        <f>IF('Visit Log'!C245="","",'Visit Log'!C245)</f>
        <v/>
      </c>
      <c r="C245" s="32">
        <f>IF('Visit Log'!C245="","",'Visit Log'!D245)</f>
        <v/>
      </c>
      <c r="D245" s="33">
        <f>IF('Visit Log'!C245="","",'Visit Log'!B245)</f>
        <v/>
      </c>
      <c r="E245" s="32">
        <f>IF('Visit Log'!C245="","",IF((IF('Visit Log'!AV245="Yes",", Art","")&amp;IF('Visit Log'!AW245="Yes",", Construction","")&amp;IF('Visit Log'!AX245="Yes",", Costumes","")&amp;IF('Visit Log'!AY245="Yes",", Craft Service","")&amp;IF('Visit Log'!AZ245="Yes",", Electrical","")&amp;IF('Visit Log'!BA245="Yes",", Greens","")&amp;IF('Visit Log'!BB245="Yes",", Grip","")&amp;IF('Visit Log'!BC245="Yes",", Locations","")&amp;IF('Visit Log'!BD245="Yes",", Medic","")&amp;IF('Visit Log'!BE245="Yes",", Paint","")&amp;IF('Visit Log'!BF245="Yes",", Plaster","")&amp;IF('Visit Log'!BG245="Yes",", Props","")&amp;IF('Visit Log'!BH245="Yes",", Set Dec","")&amp;IF('Visit Log'!BI245="Yes",", Set Teacher","")&amp;IF('Visit Log'!BJ245="Yes",", Sound","")&amp;IF('Visit Log'!BK245="Yes",", SPFX","")&amp;IF('Visit Log'!BL245="Yes",", Video",""))="","",MID(IF('Visit Log'!AV245="Yes",", Art","")&amp;IF('Visit Log'!AW245="Yes",", Construction","")&amp;IF('Visit Log'!AX245="Yes",", Costumes","")&amp;IF('Visit Log'!AY245="Yes",", Craft Service","")&amp;IF('Visit Log'!AZ245="Yes",", Electrical","")&amp;IF('Visit Log'!BA245="Yes",", Greens","")&amp;IF('Visit Log'!BB245="Yes",", Grip","")&amp;IF('Visit Log'!BC245="Yes",", Locations","")&amp;IF('Visit Log'!BD245="Yes",", Medic","")&amp;IF('Visit Log'!BE245="Yes",", Paint","")&amp;IF('Visit Log'!BF245="Yes",", Plaster","")&amp;IF('Visit Log'!BG245="Yes",", Props","")&amp;IF('Visit Log'!BH245="Yes",", Set Dec","")&amp;IF('Visit Log'!BI245="Yes",", Set Teacher","")&amp;IF('Visit Log'!BJ245="Yes",", Sound","")&amp;IF('Visit Log'!BK245="Yes",", SPFX","")&amp;IF('Visit Log'!BL245="Yes",", Video",""),3,300)))</f>
        <v/>
      </c>
      <c r="F245" s="32">
        <f>IF('Visit Log'!C245="","",'Visit Log'!T245)</f>
        <v/>
      </c>
    </row>
    <row r="246">
      <c r="A246" s="28">
        <f>IF('Visit Log'!C246="","",'Visit Log'!A246)</f>
        <v/>
      </c>
      <c r="B246" s="28">
        <f>IF('Visit Log'!C246="","",'Visit Log'!C246)</f>
        <v/>
      </c>
      <c r="C246" s="28">
        <f>IF('Visit Log'!C246="","",'Visit Log'!D246)</f>
        <v/>
      </c>
      <c r="D246" s="29">
        <f>IF('Visit Log'!C246="","",'Visit Log'!B246)</f>
        <v/>
      </c>
      <c r="E246" s="28">
        <f>IF('Visit Log'!C246="","",IF((IF('Visit Log'!AV246="Yes",", Art","")&amp;IF('Visit Log'!AW246="Yes",", Construction","")&amp;IF('Visit Log'!AX246="Yes",", Costumes","")&amp;IF('Visit Log'!AY246="Yes",", Craft Service","")&amp;IF('Visit Log'!AZ246="Yes",", Electrical","")&amp;IF('Visit Log'!BA246="Yes",", Greens","")&amp;IF('Visit Log'!BB246="Yes",", Grip","")&amp;IF('Visit Log'!BC246="Yes",", Locations","")&amp;IF('Visit Log'!BD246="Yes",", Medic","")&amp;IF('Visit Log'!BE246="Yes",", Paint","")&amp;IF('Visit Log'!BF246="Yes",", Plaster","")&amp;IF('Visit Log'!BG246="Yes",", Props","")&amp;IF('Visit Log'!BH246="Yes",", Set Dec","")&amp;IF('Visit Log'!BI246="Yes",", Set Teacher","")&amp;IF('Visit Log'!BJ246="Yes",", Sound","")&amp;IF('Visit Log'!BK246="Yes",", SPFX","")&amp;IF('Visit Log'!BL246="Yes",", Video",""))="","",MID(IF('Visit Log'!AV246="Yes",", Art","")&amp;IF('Visit Log'!AW246="Yes",", Construction","")&amp;IF('Visit Log'!AX246="Yes",", Costumes","")&amp;IF('Visit Log'!AY246="Yes",", Craft Service","")&amp;IF('Visit Log'!AZ246="Yes",", Electrical","")&amp;IF('Visit Log'!BA246="Yes",", Greens","")&amp;IF('Visit Log'!BB246="Yes",", Grip","")&amp;IF('Visit Log'!BC246="Yes",", Locations","")&amp;IF('Visit Log'!BD246="Yes",", Medic","")&amp;IF('Visit Log'!BE246="Yes",", Paint","")&amp;IF('Visit Log'!BF246="Yes",", Plaster","")&amp;IF('Visit Log'!BG246="Yes",", Props","")&amp;IF('Visit Log'!BH246="Yes",", Set Dec","")&amp;IF('Visit Log'!BI246="Yes",", Set Teacher","")&amp;IF('Visit Log'!BJ246="Yes",", Sound","")&amp;IF('Visit Log'!BK246="Yes",", SPFX","")&amp;IF('Visit Log'!BL246="Yes",", Video",""),3,300)))</f>
        <v/>
      </c>
      <c r="F246" s="28">
        <f>IF('Visit Log'!C246="","",'Visit Log'!T246)</f>
        <v/>
      </c>
    </row>
    <row r="247">
      <c r="A247" s="32">
        <f>IF('Visit Log'!C247="","",'Visit Log'!A247)</f>
        <v/>
      </c>
      <c r="B247" s="32">
        <f>IF('Visit Log'!C247="","",'Visit Log'!C247)</f>
        <v/>
      </c>
      <c r="C247" s="32">
        <f>IF('Visit Log'!C247="","",'Visit Log'!D247)</f>
        <v/>
      </c>
      <c r="D247" s="33">
        <f>IF('Visit Log'!C247="","",'Visit Log'!B247)</f>
        <v/>
      </c>
      <c r="E247" s="32">
        <f>IF('Visit Log'!C247="","",IF((IF('Visit Log'!AV247="Yes",", Art","")&amp;IF('Visit Log'!AW247="Yes",", Construction","")&amp;IF('Visit Log'!AX247="Yes",", Costumes","")&amp;IF('Visit Log'!AY247="Yes",", Craft Service","")&amp;IF('Visit Log'!AZ247="Yes",", Electrical","")&amp;IF('Visit Log'!BA247="Yes",", Greens","")&amp;IF('Visit Log'!BB247="Yes",", Grip","")&amp;IF('Visit Log'!BC247="Yes",", Locations","")&amp;IF('Visit Log'!BD247="Yes",", Medic","")&amp;IF('Visit Log'!BE247="Yes",", Paint","")&amp;IF('Visit Log'!BF247="Yes",", Plaster","")&amp;IF('Visit Log'!BG247="Yes",", Props","")&amp;IF('Visit Log'!BH247="Yes",", Set Dec","")&amp;IF('Visit Log'!BI247="Yes",", Set Teacher","")&amp;IF('Visit Log'!BJ247="Yes",", Sound","")&amp;IF('Visit Log'!BK247="Yes",", SPFX","")&amp;IF('Visit Log'!BL247="Yes",", Video",""))="","",MID(IF('Visit Log'!AV247="Yes",", Art","")&amp;IF('Visit Log'!AW247="Yes",", Construction","")&amp;IF('Visit Log'!AX247="Yes",", Costumes","")&amp;IF('Visit Log'!AY247="Yes",", Craft Service","")&amp;IF('Visit Log'!AZ247="Yes",", Electrical","")&amp;IF('Visit Log'!BA247="Yes",", Greens","")&amp;IF('Visit Log'!BB247="Yes",", Grip","")&amp;IF('Visit Log'!BC247="Yes",", Locations","")&amp;IF('Visit Log'!BD247="Yes",", Medic","")&amp;IF('Visit Log'!BE247="Yes",", Paint","")&amp;IF('Visit Log'!BF247="Yes",", Plaster","")&amp;IF('Visit Log'!BG247="Yes",", Props","")&amp;IF('Visit Log'!BH247="Yes",", Set Dec","")&amp;IF('Visit Log'!BI247="Yes",", Set Teacher","")&amp;IF('Visit Log'!BJ247="Yes",", Sound","")&amp;IF('Visit Log'!BK247="Yes",", SPFX","")&amp;IF('Visit Log'!BL247="Yes",", Video",""),3,300)))</f>
        <v/>
      </c>
      <c r="F247" s="32">
        <f>IF('Visit Log'!C247="","",'Visit Log'!T247)</f>
        <v/>
      </c>
    </row>
    <row r="248">
      <c r="A248" s="28">
        <f>IF('Visit Log'!C248="","",'Visit Log'!A248)</f>
        <v/>
      </c>
      <c r="B248" s="28">
        <f>IF('Visit Log'!C248="","",'Visit Log'!C248)</f>
        <v/>
      </c>
      <c r="C248" s="28">
        <f>IF('Visit Log'!C248="","",'Visit Log'!D248)</f>
        <v/>
      </c>
      <c r="D248" s="29">
        <f>IF('Visit Log'!C248="","",'Visit Log'!B248)</f>
        <v/>
      </c>
      <c r="E248" s="28">
        <f>IF('Visit Log'!C248="","",IF((IF('Visit Log'!AV248="Yes",", Art","")&amp;IF('Visit Log'!AW248="Yes",", Construction","")&amp;IF('Visit Log'!AX248="Yes",", Costumes","")&amp;IF('Visit Log'!AY248="Yes",", Craft Service","")&amp;IF('Visit Log'!AZ248="Yes",", Electrical","")&amp;IF('Visit Log'!BA248="Yes",", Greens","")&amp;IF('Visit Log'!BB248="Yes",", Grip","")&amp;IF('Visit Log'!BC248="Yes",", Locations","")&amp;IF('Visit Log'!BD248="Yes",", Medic","")&amp;IF('Visit Log'!BE248="Yes",", Paint","")&amp;IF('Visit Log'!BF248="Yes",", Plaster","")&amp;IF('Visit Log'!BG248="Yes",", Props","")&amp;IF('Visit Log'!BH248="Yes",", Set Dec","")&amp;IF('Visit Log'!BI248="Yes",", Set Teacher","")&amp;IF('Visit Log'!BJ248="Yes",", Sound","")&amp;IF('Visit Log'!BK248="Yes",", SPFX","")&amp;IF('Visit Log'!BL248="Yes",", Video",""))="","",MID(IF('Visit Log'!AV248="Yes",", Art","")&amp;IF('Visit Log'!AW248="Yes",", Construction","")&amp;IF('Visit Log'!AX248="Yes",", Costumes","")&amp;IF('Visit Log'!AY248="Yes",", Craft Service","")&amp;IF('Visit Log'!AZ248="Yes",", Electrical","")&amp;IF('Visit Log'!BA248="Yes",", Greens","")&amp;IF('Visit Log'!BB248="Yes",", Grip","")&amp;IF('Visit Log'!BC248="Yes",", Locations","")&amp;IF('Visit Log'!BD248="Yes",", Medic","")&amp;IF('Visit Log'!BE248="Yes",", Paint","")&amp;IF('Visit Log'!BF248="Yes",", Plaster","")&amp;IF('Visit Log'!BG248="Yes",", Props","")&amp;IF('Visit Log'!BH248="Yes",", Set Dec","")&amp;IF('Visit Log'!BI248="Yes",", Set Teacher","")&amp;IF('Visit Log'!BJ248="Yes",", Sound","")&amp;IF('Visit Log'!BK248="Yes",", SPFX","")&amp;IF('Visit Log'!BL248="Yes",", Video",""),3,300)))</f>
        <v/>
      </c>
      <c r="F248" s="28">
        <f>IF('Visit Log'!C248="","",'Visit Log'!T248)</f>
        <v/>
      </c>
    </row>
    <row r="249">
      <c r="A249" s="32">
        <f>IF('Visit Log'!C249="","",'Visit Log'!A249)</f>
        <v/>
      </c>
      <c r="B249" s="32">
        <f>IF('Visit Log'!C249="","",'Visit Log'!C249)</f>
        <v/>
      </c>
      <c r="C249" s="32">
        <f>IF('Visit Log'!C249="","",'Visit Log'!D249)</f>
        <v/>
      </c>
      <c r="D249" s="33">
        <f>IF('Visit Log'!C249="","",'Visit Log'!B249)</f>
        <v/>
      </c>
      <c r="E249" s="32">
        <f>IF('Visit Log'!C249="","",IF((IF('Visit Log'!AV249="Yes",", Art","")&amp;IF('Visit Log'!AW249="Yes",", Construction","")&amp;IF('Visit Log'!AX249="Yes",", Costumes","")&amp;IF('Visit Log'!AY249="Yes",", Craft Service","")&amp;IF('Visit Log'!AZ249="Yes",", Electrical","")&amp;IF('Visit Log'!BA249="Yes",", Greens","")&amp;IF('Visit Log'!BB249="Yes",", Grip","")&amp;IF('Visit Log'!BC249="Yes",", Locations","")&amp;IF('Visit Log'!BD249="Yes",", Medic","")&amp;IF('Visit Log'!BE249="Yes",", Paint","")&amp;IF('Visit Log'!BF249="Yes",", Plaster","")&amp;IF('Visit Log'!BG249="Yes",", Props","")&amp;IF('Visit Log'!BH249="Yes",", Set Dec","")&amp;IF('Visit Log'!BI249="Yes",", Set Teacher","")&amp;IF('Visit Log'!BJ249="Yes",", Sound","")&amp;IF('Visit Log'!BK249="Yes",", SPFX","")&amp;IF('Visit Log'!BL249="Yes",", Video",""))="","",MID(IF('Visit Log'!AV249="Yes",", Art","")&amp;IF('Visit Log'!AW249="Yes",", Construction","")&amp;IF('Visit Log'!AX249="Yes",", Costumes","")&amp;IF('Visit Log'!AY249="Yes",", Craft Service","")&amp;IF('Visit Log'!AZ249="Yes",", Electrical","")&amp;IF('Visit Log'!BA249="Yes",", Greens","")&amp;IF('Visit Log'!BB249="Yes",", Grip","")&amp;IF('Visit Log'!BC249="Yes",", Locations","")&amp;IF('Visit Log'!BD249="Yes",", Medic","")&amp;IF('Visit Log'!BE249="Yes",", Paint","")&amp;IF('Visit Log'!BF249="Yes",", Plaster","")&amp;IF('Visit Log'!BG249="Yes",", Props","")&amp;IF('Visit Log'!BH249="Yes",", Set Dec","")&amp;IF('Visit Log'!BI249="Yes",", Set Teacher","")&amp;IF('Visit Log'!BJ249="Yes",", Sound","")&amp;IF('Visit Log'!BK249="Yes",", SPFX","")&amp;IF('Visit Log'!BL249="Yes",", Video",""),3,300)))</f>
        <v/>
      </c>
      <c r="F249" s="32">
        <f>IF('Visit Log'!C249="","",'Visit Log'!T249)</f>
        <v/>
      </c>
    </row>
    <row r="250">
      <c r="A250" s="28">
        <f>IF('Visit Log'!C250="","",'Visit Log'!A250)</f>
        <v/>
      </c>
      <c r="B250" s="28">
        <f>IF('Visit Log'!C250="","",'Visit Log'!C250)</f>
        <v/>
      </c>
      <c r="C250" s="28">
        <f>IF('Visit Log'!C250="","",'Visit Log'!D250)</f>
        <v/>
      </c>
      <c r="D250" s="29">
        <f>IF('Visit Log'!C250="","",'Visit Log'!B250)</f>
        <v/>
      </c>
      <c r="E250" s="28">
        <f>IF('Visit Log'!C250="","",IF((IF('Visit Log'!AV250="Yes",", Art","")&amp;IF('Visit Log'!AW250="Yes",", Construction","")&amp;IF('Visit Log'!AX250="Yes",", Costumes","")&amp;IF('Visit Log'!AY250="Yes",", Craft Service","")&amp;IF('Visit Log'!AZ250="Yes",", Electrical","")&amp;IF('Visit Log'!BA250="Yes",", Greens","")&amp;IF('Visit Log'!BB250="Yes",", Grip","")&amp;IF('Visit Log'!BC250="Yes",", Locations","")&amp;IF('Visit Log'!BD250="Yes",", Medic","")&amp;IF('Visit Log'!BE250="Yes",", Paint","")&amp;IF('Visit Log'!BF250="Yes",", Plaster","")&amp;IF('Visit Log'!BG250="Yes",", Props","")&amp;IF('Visit Log'!BH250="Yes",", Set Dec","")&amp;IF('Visit Log'!BI250="Yes",", Set Teacher","")&amp;IF('Visit Log'!BJ250="Yes",", Sound","")&amp;IF('Visit Log'!BK250="Yes",", SPFX","")&amp;IF('Visit Log'!BL250="Yes",", Video",""))="","",MID(IF('Visit Log'!AV250="Yes",", Art","")&amp;IF('Visit Log'!AW250="Yes",", Construction","")&amp;IF('Visit Log'!AX250="Yes",", Costumes","")&amp;IF('Visit Log'!AY250="Yes",", Craft Service","")&amp;IF('Visit Log'!AZ250="Yes",", Electrical","")&amp;IF('Visit Log'!BA250="Yes",", Greens","")&amp;IF('Visit Log'!BB250="Yes",", Grip","")&amp;IF('Visit Log'!BC250="Yes",", Locations","")&amp;IF('Visit Log'!BD250="Yes",", Medic","")&amp;IF('Visit Log'!BE250="Yes",", Paint","")&amp;IF('Visit Log'!BF250="Yes",", Plaster","")&amp;IF('Visit Log'!BG250="Yes",", Props","")&amp;IF('Visit Log'!BH250="Yes",", Set Dec","")&amp;IF('Visit Log'!BI250="Yes",", Set Teacher","")&amp;IF('Visit Log'!BJ250="Yes",", Sound","")&amp;IF('Visit Log'!BK250="Yes",", SPFX","")&amp;IF('Visit Log'!BL250="Yes",", Video",""),3,300)))</f>
        <v/>
      </c>
      <c r="F250" s="28">
        <f>IF('Visit Log'!C250="","",'Visit Log'!T250)</f>
        <v/>
      </c>
    </row>
    <row r="251">
      <c r="A251" s="32">
        <f>IF('Visit Log'!C251="","",'Visit Log'!A251)</f>
        <v/>
      </c>
      <c r="B251" s="32">
        <f>IF('Visit Log'!C251="","",'Visit Log'!C251)</f>
        <v/>
      </c>
      <c r="C251" s="32">
        <f>IF('Visit Log'!C251="","",'Visit Log'!D251)</f>
        <v/>
      </c>
      <c r="D251" s="33">
        <f>IF('Visit Log'!C251="","",'Visit Log'!B251)</f>
        <v/>
      </c>
      <c r="E251" s="32">
        <f>IF('Visit Log'!C251="","",IF((IF('Visit Log'!AV251="Yes",", Art","")&amp;IF('Visit Log'!AW251="Yes",", Construction","")&amp;IF('Visit Log'!AX251="Yes",", Costumes","")&amp;IF('Visit Log'!AY251="Yes",", Craft Service","")&amp;IF('Visit Log'!AZ251="Yes",", Electrical","")&amp;IF('Visit Log'!BA251="Yes",", Greens","")&amp;IF('Visit Log'!BB251="Yes",", Grip","")&amp;IF('Visit Log'!BC251="Yes",", Locations","")&amp;IF('Visit Log'!BD251="Yes",", Medic","")&amp;IF('Visit Log'!BE251="Yes",", Paint","")&amp;IF('Visit Log'!BF251="Yes",", Plaster","")&amp;IF('Visit Log'!BG251="Yes",", Props","")&amp;IF('Visit Log'!BH251="Yes",", Set Dec","")&amp;IF('Visit Log'!BI251="Yes",", Set Teacher","")&amp;IF('Visit Log'!BJ251="Yes",", Sound","")&amp;IF('Visit Log'!BK251="Yes",", SPFX","")&amp;IF('Visit Log'!BL251="Yes",", Video",""))="","",MID(IF('Visit Log'!AV251="Yes",", Art","")&amp;IF('Visit Log'!AW251="Yes",", Construction","")&amp;IF('Visit Log'!AX251="Yes",", Costumes","")&amp;IF('Visit Log'!AY251="Yes",", Craft Service","")&amp;IF('Visit Log'!AZ251="Yes",", Electrical","")&amp;IF('Visit Log'!BA251="Yes",", Greens","")&amp;IF('Visit Log'!BB251="Yes",", Grip","")&amp;IF('Visit Log'!BC251="Yes",", Locations","")&amp;IF('Visit Log'!BD251="Yes",", Medic","")&amp;IF('Visit Log'!BE251="Yes",", Paint","")&amp;IF('Visit Log'!BF251="Yes",", Plaster","")&amp;IF('Visit Log'!BG251="Yes",", Props","")&amp;IF('Visit Log'!BH251="Yes",", Set Dec","")&amp;IF('Visit Log'!BI251="Yes",", Set Teacher","")&amp;IF('Visit Log'!BJ251="Yes",", Sound","")&amp;IF('Visit Log'!BK251="Yes",", SPFX","")&amp;IF('Visit Log'!BL251="Yes",", Video",""),3,300)))</f>
        <v/>
      </c>
      <c r="F251" s="32">
        <f>IF('Visit Log'!C251="","",'Visit Log'!T251)</f>
        <v/>
      </c>
    </row>
    <row r="252">
      <c r="A252" s="28">
        <f>IF('Visit Log'!C252="","",'Visit Log'!A252)</f>
        <v/>
      </c>
      <c r="B252" s="28">
        <f>IF('Visit Log'!C252="","",'Visit Log'!C252)</f>
        <v/>
      </c>
      <c r="C252" s="28">
        <f>IF('Visit Log'!C252="","",'Visit Log'!D252)</f>
        <v/>
      </c>
      <c r="D252" s="29">
        <f>IF('Visit Log'!C252="","",'Visit Log'!B252)</f>
        <v/>
      </c>
      <c r="E252" s="28">
        <f>IF('Visit Log'!C252="","",IF((IF('Visit Log'!AV252="Yes",", Art","")&amp;IF('Visit Log'!AW252="Yes",", Construction","")&amp;IF('Visit Log'!AX252="Yes",", Costumes","")&amp;IF('Visit Log'!AY252="Yes",", Craft Service","")&amp;IF('Visit Log'!AZ252="Yes",", Electrical","")&amp;IF('Visit Log'!BA252="Yes",", Greens","")&amp;IF('Visit Log'!BB252="Yes",", Grip","")&amp;IF('Visit Log'!BC252="Yes",", Locations","")&amp;IF('Visit Log'!BD252="Yes",", Medic","")&amp;IF('Visit Log'!BE252="Yes",", Paint","")&amp;IF('Visit Log'!BF252="Yes",", Plaster","")&amp;IF('Visit Log'!BG252="Yes",", Props","")&amp;IF('Visit Log'!BH252="Yes",", Set Dec","")&amp;IF('Visit Log'!BI252="Yes",", Set Teacher","")&amp;IF('Visit Log'!BJ252="Yes",", Sound","")&amp;IF('Visit Log'!BK252="Yes",", SPFX","")&amp;IF('Visit Log'!BL252="Yes",", Video",""))="","",MID(IF('Visit Log'!AV252="Yes",", Art","")&amp;IF('Visit Log'!AW252="Yes",", Construction","")&amp;IF('Visit Log'!AX252="Yes",", Costumes","")&amp;IF('Visit Log'!AY252="Yes",", Craft Service","")&amp;IF('Visit Log'!AZ252="Yes",", Electrical","")&amp;IF('Visit Log'!BA252="Yes",", Greens","")&amp;IF('Visit Log'!BB252="Yes",", Grip","")&amp;IF('Visit Log'!BC252="Yes",", Locations","")&amp;IF('Visit Log'!BD252="Yes",", Medic","")&amp;IF('Visit Log'!BE252="Yes",", Paint","")&amp;IF('Visit Log'!BF252="Yes",", Plaster","")&amp;IF('Visit Log'!BG252="Yes",", Props","")&amp;IF('Visit Log'!BH252="Yes",", Set Dec","")&amp;IF('Visit Log'!BI252="Yes",", Set Teacher","")&amp;IF('Visit Log'!BJ252="Yes",", Sound","")&amp;IF('Visit Log'!BK252="Yes",", SPFX","")&amp;IF('Visit Log'!BL252="Yes",", Video",""),3,300)))</f>
        <v/>
      </c>
      <c r="F252" s="28">
        <f>IF('Visit Log'!C252="","",'Visit Log'!T252)</f>
        <v/>
      </c>
    </row>
    <row r="253">
      <c r="A253" s="32">
        <f>IF('Visit Log'!C253="","",'Visit Log'!A253)</f>
        <v/>
      </c>
      <c r="B253" s="32">
        <f>IF('Visit Log'!C253="","",'Visit Log'!C253)</f>
        <v/>
      </c>
      <c r="C253" s="32">
        <f>IF('Visit Log'!C253="","",'Visit Log'!D253)</f>
        <v/>
      </c>
      <c r="D253" s="33">
        <f>IF('Visit Log'!C253="","",'Visit Log'!B253)</f>
        <v/>
      </c>
      <c r="E253" s="32">
        <f>IF('Visit Log'!C253="","",IF((IF('Visit Log'!AV253="Yes",", Art","")&amp;IF('Visit Log'!AW253="Yes",", Construction","")&amp;IF('Visit Log'!AX253="Yes",", Costumes","")&amp;IF('Visit Log'!AY253="Yes",", Craft Service","")&amp;IF('Visit Log'!AZ253="Yes",", Electrical","")&amp;IF('Visit Log'!BA253="Yes",", Greens","")&amp;IF('Visit Log'!BB253="Yes",", Grip","")&amp;IF('Visit Log'!BC253="Yes",", Locations","")&amp;IF('Visit Log'!BD253="Yes",", Medic","")&amp;IF('Visit Log'!BE253="Yes",", Paint","")&amp;IF('Visit Log'!BF253="Yes",", Plaster","")&amp;IF('Visit Log'!BG253="Yes",", Props","")&amp;IF('Visit Log'!BH253="Yes",", Set Dec","")&amp;IF('Visit Log'!BI253="Yes",", Set Teacher","")&amp;IF('Visit Log'!BJ253="Yes",", Sound","")&amp;IF('Visit Log'!BK253="Yes",", SPFX","")&amp;IF('Visit Log'!BL253="Yes",", Video",""))="","",MID(IF('Visit Log'!AV253="Yes",", Art","")&amp;IF('Visit Log'!AW253="Yes",", Construction","")&amp;IF('Visit Log'!AX253="Yes",", Costumes","")&amp;IF('Visit Log'!AY253="Yes",", Craft Service","")&amp;IF('Visit Log'!AZ253="Yes",", Electrical","")&amp;IF('Visit Log'!BA253="Yes",", Greens","")&amp;IF('Visit Log'!BB253="Yes",", Grip","")&amp;IF('Visit Log'!BC253="Yes",", Locations","")&amp;IF('Visit Log'!BD253="Yes",", Medic","")&amp;IF('Visit Log'!BE253="Yes",", Paint","")&amp;IF('Visit Log'!BF253="Yes",", Plaster","")&amp;IF('Visit Log'!BG253="Yes",", Props","")&amp;IF('Visit Log'!BH253="Yes",", Set Dec","")&amp;IF('Visit Log'!BI253="Yes",", Set Teacher","")&amp;IF('Visit Log'!BJ253="Yes",", Sound","")&amp;IF('Visit Log'!BK253="Yes",", SPFX","")&amp;IF('Visit Log'!BL253="Yes",", Video",""),3,300)))</f>
        <v/>
      </c>
      <c r="F253" s="32">
        <f>IF('Visit Log'!C253="","",'Visit Log'!T253)</f>
        <v/>
      </c>
    </row>
    <row r="254">
      <c r="A254" s="28">
        <f>IF('Visit Log'!C254="","",'Visit Log'!A254)</f>
        <v/>
      </c>
      <c r="B254" s="28">
        <f>IF('Visit Log'!C254="","",'Visit Log'!C254)</f>
        <v/>
      </c>
      <c r="C254" s="28">
        <f>IF('Visit Log'!C254="","",'Visit Log'!D254)</f>
        <v/>
      </c>
      <c r="D254" s="29">
        <f>IF('Visit Log'!C254="","",'Visit Log'!B254)</f>
        <v/>
      </c>
      <c r="E254" s="28">
        <f>IF('Visit Log'!C254="","",IF((IF('Visit Log'!AV254="Yes",", Art","")&amp;IF('Visit Log'!AW254="Yes",", Construction","")&amp;IF('Visit Log'!AX254="Yes",", Costumes","")&amp;IF('Visit Log'!AY254="Yes",", Craft Service","")&amp;IF('Visit Log'!AZ254="Yes",", Electrical","")&amp;IF('Visit Log'!BA254="Yes",", Greens","")&amp;IF('Visit Log'!BB254="Yes",", Grip","")&amp;IF('Visit Log'!BC254="Yes",", Locations","")&amp;IF('Visit Log'!BD254="Yes",", Medic","")&amp;IF('Visit Log'!BE254="Yes",", Paint","")&amp;IF('Visit Log'!BF254="Yes",", Plaster","")&amp;IF('Visit Log'!BG254="Yes",", Props","")&amp;IF('Visit Log'!BH254="Yes",", Set Dec","")&amp;IF('Visit Log'!BI254="Yes",", Set Teacher","")&amp;IF('Visit Log'!BJ254="Yes",", Sound","")&amp;IF('Visit Log'!BK254="Yes",", SPFX","")&amp;IF('Visit Log'!BL254="Yes",", Video",""))="","",MID(IF('Visit Log'!AV254="Yes",", Art","")&amp;IF('Visit Log'!AW254="Yes",", Construction","")&amp;IF('Visit Log'!AX254="Yes",", Costumes","")&amp;IF('Visit Log'!AY254="Yes",", Craft Service","")&amp;IF('Visit Log'!AZ254="Yes",", Electrical","")&amp;IF('Visit Log'!BA254="Yes",", Greens","")&amp;IF('Visit Log'!BB254="Yes",", Grip","")&amp;IF('Visit Log'!BC254="Yes",", Locations","")&amp;IF('Visit Log'!BD254="Yes",", Medic","")&amp;IF('Visit Log'!BE254="Yes",", Paint","")&amp;IF('Visit Log'!BF254="Yes",", Plaster","")&amp;IF('Visit Log'!BG254="Yes",", Props","")&amp;IF('Visit Log'!BH254="Yes",", Set Dec","")&amp;IF('Visit Log'!BI254="Yes",", Set Teacher","")&amp;IF('Visit Log'!BJ254="Yes",", Sound","")&amp;IF('Visit Log'!BK254="Yes",", SPFX","")&amp;IF('Visit Log'!BL254="Yes",", Video",""),3,300)))</f>
        <v/>
      </c>
      <c r="F254" s="28">
        <f>IF('Visit Log'!C254="","",'Visit Log'!T254)</f>
        <v/>
      </c>
    </row>
    <row r="255">
      <c r="A255" s="32">
        <f>IF('Visit Log'!C255="","",'Visit Log'!A255)</f>
        <v/>
      </c>
      <c r="B255" s="32">
        <f>IF('Visit Log'!C255="","",'Visit Log'!C255)</f>
        <v/>
      </c>
      <c r="C255" s="32">
        <f>IF('Visit Log'!C255="","",'Visit Log'!D255)</f>
        <v/>
      </c>
      <c r="D255" s="33">
        <f>IF('Visit Log'!C255="","",'Visit Log'!B255)</f>
        <v/>
      </c>
      <c r="E255" s="32">
        <f>IF('Visit Log'!C255="","",IF((IF('Visit Log'!AV255="Yes",", Art","")&amp;IF('Visit Log'!AW255="Yes",", Construction","")&amp;IF('Visit Log'!AX255="Yes",", Costumes","")&amp;IF('Visit Log'!AY255="Yes",", Craft Service","")&amp;IF('Visit Log'!AZ255="Yes",", Electrical","")&amp;IF('Visit Log'!BA255="Yes",", Greens","")&amp;IF('Visit Log'!BB255="Yes",", Grip","")&amp;IF('Visit Log'!BC255="Yes",", Locations","")&amp;IF('Visit Log'!BD255="Yes",", Medic","")&amp;IF('Visit Log'!BE255="Yes",", Paint","")&amp;IF('Visit Log'!BF255="Yes",", Plaster","")&amp;IF('Visit Log'!BG255="Yes",", Props","")&amp;IF('Visit Log'!BH255="Yes",", Set Dec","")&amp;IF('Visit Log'!BI255="Yes",", Set Teacher","")&amp;IF('Visit Log'!BJ255="Yes",", Sound","")&amp;IF('Visit Log'!BK255="Yes",", SPFX","")&amp;IF('Visit Log'!BL255="Yes",", Video",""))="","",MID(IF('Visit Log'!AV255="Yes",", Art","")&amp;IF('Visit Log'!AW255="Yes",", Construction","")&amp;IF('Visit Log'!AX255="Yes",", Costumes","")&amp;IF('Visit Log'!AY255="Yes",", Craft Service","")&amp;IF('Visit Log'!AZ255="Yes",", Electrical","")&amp;IF('Visit Log'!BA255="Yes",", Greens","")&amp;IF('Visit Log'!BB255="Yes",", Grip","")&amp;IF('Visit Log'!BC255="Yes",", Locations","")&amp;IF('Visit Log'!BD255="Yes",", Medic","")&amp;IF('Visit Log'!BE255="Yes",", Paint","")&amp;IF('Visit Log'!BF255="Yes",", Plaster","")&amp;IF('Visit Log'!BG255="Yes",", Props","")&amp;IF('Visit Log'!BH255="Yes",", Set Dec","")&amp;IF('Visit Log'!BI255="Yes",", Set Teacher","")&amp;IF('Visit Log'!BJ255="Yes",", Sound","")&amp;IF('Visit Log'!BK255="Yes",", SPFX","")&amp;IF('Visit Log'!BL255="Yes",", Video",""),3,300)))</f>
        <v/>
      </c>
      <c r="F255" s="32">
        <f>IF('Visit Log'!C255="","",'Visit Log'!T255)</f>
        <v/>
      </c>
    </row>
    <row r="256">
      <c r="A256" s="28">
        <f>IF('Visit Log'!C256="","",'Visit Log'!A256)</f>
        <v/>
      </c>
      <c r="B256" s="28">
        <f>IF('Visit Log'!C256="","",'Visit Log'!C256)</f>
        <v/>
      </c>
      <c r="C256" s="28">
        <f>IF('Visit Log'!C256="","",'Visit Log'!D256)</f>
        <v/>
      </c>
      <c r="D256" s="29">
        <f>IF('Visit Log'!C256="","",'Visit Log'!B256)</f>
        <v/>
      </c>
      <c r="E256" s="28">
        <f>IF('Visit Log'!C256="","",IF((IF('Visit Log'!AV256="Yes",", Art","")&amp;IF('Visit Log'!AW256="Yes",", Construction","")&amp;IF('Visit Log'!AX256="Yes",", Costumes","")&amp;IF('Visit Log'!AY256="Yes",", Craft Service","")&amp;IF('Visit Log'!AZ256="Yes",", Electrical","")&amp;IF('Visit Log'!BA256="Yes",", Greens","")&amp;IF('Visit Log'!BB256="Yes",", Grip","")&amp;IF('Visit Log'!BC256="Yes",", Locations","")&amp;IF('Visit Log'!BD256="Yes",", Medic","")&amp;IF('Visit Log'!BE256="Yes",", Paint","")&amp;IF('Visit Log'!BF256="Yes",", Plaster","")&amp;IF('Visit Log'!BG256="Yes",", Props","")&amp;IF('Visit Log'!BH256="Yes",", Set Dec","")&amp;IF('Visit Log'!BI256="Yes",", Set Teacher","")&amp;IF('Visit Log'!BJ256="Yes",", Sound","")&amp;IF('Visit Log'!BK256="Yes",", SPFX","")&amp;IF('Visit Log'!BL256="Yes",", Video",""))="","",MID(IF('Visit Log'!AV256="Yes",", Art","")&amp;IF('Visit Log'!AW256="Yes",", Construction","")&amp;IF('Visit Log'!AX256="Yes",", Costumes","")&amp;IF('Visit Log'!AY256="Yes",", Craft Service","")&amp;IF('Visit Log'!AZ256="Yes",", Electrical","")&amp;IF('Visit Log'!BA256="Yes",", Greens","")&amp;IF('Visit Log'!BB256="Yes",", Grip","")&amp;IF('Visit Log'!BC256="Yes",", Locations","")&amp;IF('Visit Log'!BD256="Yes",", Medic","")&amp;IF('Visit Log'!BE256="Yes",", Paint","")&amp;IF('Visit Log'!BF256="Yes",", Plaster","")&amp;IF('Visit Log'!BG256="Yes",", Props","")&amp;IF('Visit Log'!BH256="Yes",", Set Dec","")&amp;IF('Visit Log'!BI256="Yes",", Set Teacher","")&amp;IF('Visit Log'!BJ256="Yes",", Sound","")&amp;IF('Visit Log'!BK256="Yes",", SPFX","")&amp;IF('Visit Log'!BL256="Yes",", Video",""),3,300)))</f>
        <v/>
      </c>
      <c r="F256" s="28">
        <f>IF('Visit Log'!C256="","",'Visit Log'!T256)</f>
        <v/>
      </c>
    </row>
    <row r="257">
      <c r="A257" s="32">
        <f>IF('Visit Log'!C257="","",'Visit Log'!A257)</f>
        <v/>
      </c>
      <c r="B257" s="32">
        <f>IF('Visit Log'!C257="","",'Visit Log'!C257)</f>
        <v/>
      </c>
      <c r="C257" s="32">
        <f>IF('Visit Log'!C257="","",'Visit Log'!D257)</f>
        <v/>
      </c>
      <c r="D257" s="33">
        <f>IF('Visit Log'!C257="","",'Visit Log'!B257)</f>
        <v/>
      </c>
      <c r="E257" s="32">
        <f>IF('Visit Log'!C257="","",IF((IF('Visit Log'!AV257="Yes",", Art","")&amp;IF('Visit Log'!AW257="Yes",", Construction","")&amp;IF('Visit Log'!AX257="Yes",", Costumes","")&amp;IF('Visit Log'!AY257="Yes",", Craft Service","")&amp;IF('Visit Log'!AZ257="Yes",", Electrical","")&amp;IF('Visit Log'!BA257="Yes",", Greens","")&amp;IF('Visit Log'!BB257="Yes",", Grip","")&amp;IF('Visit Log'!BC257="Yes",", Locations","")&amp;IF('Visit Log'!BD257="Yes",", Medic","")&amp;IF('Visit Log'!BE257="Yes",", Paint","")&amp;IF('Visit Log'!BF257="Yes",", Plaster","")&amp;IF('Visit Log'!BG257="Yes",", Props","")&amp;IF('Visit Log'!BH257="Yes",", Set Dec","")&amp;IF('Visit Log'!BI257="Yes",", Set Teacher","")&amp;IF('Visit Log'!BJ257="Yes",", Sound","")&amp;IF('Visit Log'!BK257="Yes",", SPFX","")&amp;IF('Visit Log'!BL257="Yes",", Video",""))="","",MID(IF('Visit Log'!AV257="Yes",", Art","")&amp;IF('Visit Log'!AW257="Yes",", Construction","")&amp;IF('Visit Log'!AX257="Yes",", Costumes","")&amp;IF('Visit Log'!AY257="Yes",", Craft Service","")&amp;IF('Visit Log'!AZ257="Yes",", Electrical","")&amp;IF('Visit Log'!BA257="Yes",", Greens","")&amp;IF('Visit Log'!BB257="Yes",", Grip","")&amp;IF('Visit Log'!BC257="Yes",", Locations","")&amp;IF('Visit Log'!BD257="Yes",", Medic","")&amp;IF('Visit Log'!BE257="Yes",", Paint","")&amp;IF('Visit Log'!BF257="Yes",", Plaster","")&amp;IF('Visit Log'!BG257="Yes",", Props","")&amp;IF('Visit Log'!BH257="Yes",", Set Dec","")&amp;IF('Visit Log'!BI257="Yes",", Set Teacher","")&amp;IF('Visit Log'!BJ257="Yes",", Sound","")&amp;IF('Visit Log'!BK257="Yes",", SPFX","")&amp;IF('Visit Log'!BL257="Yes",", Video",""),3,300)))</f>
        <v/>
      </c>
      <c r="F257" s="32">
        <f>IF('Visit Log'!C257="","",'Visit Log'!T257)</f>
        <v/>
      </c>
    </row>
    <row r="258">
      <c r="A258" s="28">
        <f>IF('Visit Log'!C258="","",'Visit Log'!A258)</f>
        <v/>
      </c>
      <c r="B258" s="28">
        <f>IF('Visit Log'!C258="","",'Visit Log'!C258)</f>
        <v/>
      </c>
      <c r="C258" s="28">
        <f>IF('Visit Log'!C258="","",'Visit Log'!D258)</f>
        <v/>
      </c>
      <c r="D258" s="29">
        <f>IF('Visit Log'!C258="","",'Visit Log'!B258)</f>
        <v/>
      </c>
      <c r="E258" s="28">
        <f>IF('Visit Log'!C258="","",IF((IF('Visit Log'!AV258="Yes",", Art","")&amp;IF('Visit Log'!AW258="Yes",", Construction","")&amp;IF('Visit Log'!AX258="Yes",", Costumes","")&amp;IF('Visit Log'!AY258="Yes",", Craft Service","")&amp;IF('Visit Log'!AZ258="Yes",", Electrical","")&amp;IF('Visit Log'!BA258="Yes",", Greens","")&amp;IF('Visit Log'!BB258="Yes",", Grip","")&amp;IF('Visit Log'!BC258="Yes",", Locations","")&amp;IF('Visit Log'!BD258="Yes",", Medic","")&amp;IF('Visit Log'!BE258="Yes",", Paint","")&amp;IF('Visit Log'!BF258="Yes",", Plaster","")&amp;IF('Visit Log'!BG258="Yes",", Props","")&amp;IF('Visit Log'!BH258="Yes",", Set Dec","")&amp;IF('Visit Log'!BI258="Yes",", Set Teacher","")&amp;IF('Visit Log'!BJ258="Yes",", Sound","")&amp;IF('Visit Log'!BK258="Yes",", SPFX","")&amp;IF('Visit Log'!BL258="Yes",", Video",""))="","",MID(IF('Visit Log'!AV258="Yes",", Art","")&amp;IF('Visit Log'!AW258="Yes",", Construction","")&amp;IF('Visit Log'!AX258="Yes",", Costumes","")&amp;IF('Visit Log'!AY258="Yes",", Craft Service","")&amp;IF('Visit Log'!AZ258="Yes",", Electrical","")&amp;IF('Visit Log'!BA258="Yes",", Greens","")&amp;IF('Visit Log'!BB258="Yes",", Grip","")&amp;IF('Visit Log'!BC258="Yes",", Locations","")&amp;IF('Visit Log'!BD258="Yes",", Medic","")&amp;IF('Visit Log'!BE258="Yes",", Paint","")&amp;IF('Visit Log'!BF258="Yes",", Plaster","")&amp;IF('Visit Log'!BG258="Yes",", Props","")&amp;IF('Visit Log'!BH258="Yes",", Set Dec","")&amp;IF('Visit Log'!BI258="Yes",", Set Teacher","")&amp;IF('Visit Log'!BJ258="Yes",", Sound","")&amp;IF('Visit Log'!BK258="Yes",", SPFX","")&amp;IF('Visit Log'!BL258="Yes",", Video",""),3,300)))</f>
        <v/>
      </c>
      <c r="F258" s="28">
        <f>IF('Visit Log'!C258="","",'Visit Log'!T258)</f>
        <v/>
      </c>
    </row>
    <row r="259">
      <c r="A259" s="32">
        <f>IF('Visit Log'!C259="","",'Visit Log'!A259)</f>
        <v/>
      </c>
      <c r="B259" s="32">
        <f>IF('Visit Log'!C259="","",'Visit Log'!C259)</f>
        <v/>
      </c>
      <c r="C259" s="32">
        <f>IF('Visit Log'!C259="","",'Visit Log'!D259)</f>
        <v/>
      </c>
      <c r="D259" s="33">
        <f>IF('Visit Log'!C259="","",'Visit Log'!B259)</f>
        <v/>
      </c>
      <c r="E259" s="32">
        <f>IF('Visit Log'!C259="","",IF((IF('Visit Log'!AV259="Yes",", Art","")&amp;IF('Visit Log'!AW259="Yes",", Construction","")&amp;IF('Visit Log'!AX259="Yes",", Costumes","")&amp;IF('Visit Log'!AY259="Yes",", Craft Service","")&amp;IF('Visit Log'!AZ259="Yes",", Electrical","")&amp;IF('Visit Log'!BA259="Yes",", Greens","")&amp;IF('Visit Log'!BB259="Yes",", Grip","")&amp;IF('Visit Log'!BC259="Yes",", Locations","")&amp;IF('Visit Log'!BD259="Yes",", Medic","")&amp;IF('Visit Log'!BE259="Yes",", Paint","")&amp;IF('Visit Log'!BF259="Yes",", Plaster","")&amp;IF('Visit Log'!BG259="Yes",", Props","")&amp;IF('Visit Log'!BH259="Yes",", Set Dec","")&amp;IF('Visit Log'!BI259="Yes",", Set Teacher","")&amp;IF('Visit Log'!BJ259="Yes",", Sound","")&amp;IF('Visit Log'!BK259="Yes",", SPFX","")&amp;IF('Visit Log'!BL259="Yes",", Video",""))="","",MID(IF('Visit Log'!AV259="Yes",", Art","")&amp;IF('Visit Log'!AW259="Yes",", Construction","")&amp;IF('Visit Log'!AX259="Yes",", Costumes","")&amp;IF('Visit Log'!AY259="Yes",", Craft Service","")&amp;IF('Visit Log'!AZ259="Yes",", Electrical","")&amp;IF('Visit Log'!BA259="Yes",", Greens","")&amp;IF('Visit Log'!BB259="Yes",", Grip","")&amp;IF('Visit Log'!BC259="Yes",", Locations","")&amp;IF('Visit Log'!BD259="Yes",", Medic","")&amp;IF('Visit Log'!BE259="Yes",", Paint","")&amp;IF('Visit Log'!BF259="Yes",", Plaster","")&amp;IF('Visit Log'!BG259="Yes",", Props","")&amp;IF('Visit Log'!BH259="Yes",", Set Dec","")&amp;IF('Visit Log'!BI259="Yes",", Set Teacher","")&amp;IF('Visit Log'!BJ259="Yes",", Sound","")&amp;IF('Visit Log'!BK259="Yes",", SPFX","")&amp;IF('Visit Log'!BL259="Yes",", Video",""),3,300)))</f>
        <v/>
      </c>
      <c r="F259" s="32">
        <f>IF('Visit Log'!C259="","",'Visit Log'!T259)</f>
        <v/>
      </c>
    </row>
    <row r="260">
      <c r="A260" s="28">
        <f>IF('Visit Log'!C260="","",'Visit Log'!A260)</f>
        <v/>
      </c>
      <c r="B260" s="28">
        <f>IF('Visit Log'!C260="","",'Visit Log'!C260)</f>
        <v/>
      </c>
      <c r="C260" s="28">
        <f>IF('Visit Log'!C260="","",'Visit Log'!D260)</f>
        <v/>
      </c>
      <c r="D260" s="29">
        <f>IF('Visit Log'!C260="","",'Visit Log'!B260)</f>
        <v/>
      </c>
      <c r="E260" s="28">
        <f>IF('Visit Log'!C260="","",IF((IF('Visit Log'!AV260="Yes",", Art","")&amp;IF('Visit Log'!AW260="Yes",", Construction","")&amp;IF('Visit Log'!AX260="Yes",", Costumes","")&amp;IF('Visit Log'!AY260="Yes",", Craft Service","")&amp;IF('Visit Log'!AZ260="Yes",", Electrical","")&amp;IF('Visit Log'!BA260="Yes",", Greens","")&amp;IF('Visit Log'!BB260="Yes",", Grip","")&amp;IF('Visit Log'!BC260="Yes",", Locations","")&amp;IF('Visit Log'!BD260="Yes",", Medic","")&amp;IF('Visit Log'!BE260="Yes",", Paint","")&amp;IF('Visit Log'!BF260="Yes",", Plaster","")&amp;IF('Visit Log'!BG260="Yes",", Props","")&amp;IF('Visit Log'!BH260="Yes",", Set Dec","")&amp;IF('Visit Log'!BI260="Yes",", Set Teacher","")&amp;IF('Visit Log'!BJ260="Yes",", Sound","")&amp;IF('Visit Log'!BK260="Yes",", SPFX","")&amp;IF('Visit Log'!BL260="Yes",", Video",""))="","",MID(IF('Visit Log'!AV260="Yes",", Art","")&amp;IF('Visit Log'!AW260="Yes",", Construction","")&amp;IF('Visit Log'!AX260="Yes",", Costumes","")&amp;IF('Visit Log'!AY260="Yes",", Craft Service","")&amp;IF('Visit Log'!AZ260="Yes",", Electrical","")&amp;IF('Visit Log'!BA260="Yes",", Greens","")&amp;IF('Visit Log'!BB260="Yes",", Grip","")&amp;IF('Visit Log'!BC260="Yes",", Locations","")&amp;IF('Visit Log'!BD260="Yes",", Medic","")&amp;IF('Visit Log'!BE260="Yes",", Paint","")&amp;IF('Visit Log'!BF260="Yes",", Plaster","")&amp;IF('Visit Log'!BG260="Yes",", Props","")&amp;IF('Visit Log'!BH260="Yes",", Set Dec","")&amp;IF('Visit Log'!BI260="Yes",", Set Teacher","")&amp;IF('Visit Log'!BJ260="Yes",", Sound","")&amp;IF('Visit Log'!BK260="Yes",", SPFX","")&amp;IF('Visit Log'!BL260="Yes",", Video",""),3,300)))</f>
        <v/>
      </c>
      <c r="F260" s="28">
        <f>IF('Visit Log'!C260="","",'Visit Log'!T260)</f>
        <v/>
      </c>
    </row>
    <row r="261">
      <c r="A261" s="32">
        <f>IF('Visit Log'!C261="","",'Visit Log'!A261)</f>
        <v/>
      </c>
      <c r="B261" s="32">
        <f>IF('Visit Log'!C261="","",'Visit Log'!C261)</f>
        <v/>
      </c>
      <c r="C261" s="32">
        <f>IF('Visit Log'!C261="","",'Visit Log'!D261)</f>
        <v/>
      </c>
      <c r="D261" s="33">
        <f>IF('Visit Log'!C261="","",'Visit Log'!B261)</f>
        <v/>
      </c>
      <c r="E261" s="32">
        <f>IF('Visit Log'!C261="","",IF((IF('Visit Log'!AV261="Yes",", Art","")&amp;IF('Visit Log'!AW261="Yes",", Construction","")&amp;IF('Visit Log'!AX261="Yes",", Costumes","")&amp;IF('Visit Log'!AY261="Yes",", Craft Service","")&amp;IF('Visit Log'!AZ261="Yes",", Electrical","")&amp;IF('Visit Log'!BA261="Yes",", Greens","")&amp;IF('Visit Log'!BB261="Yes",", Grip","")&amp;IF('Visit Log'!BC261="Yes",", Locations","")&amp;IF('Visit Log'!BD261="Yes",", Medic","")&amp;IF('Visit Log'!BE261="Yes",", Paint","")&amp;IF('Visit Log'!BF261="Yes",", Plaster","")&amp;IF('Visit Log'!BG261="Yes",", Props","")&amp;IF('Visit Log'!BH261="Yes",", Set Dec","")&amp;IF('Visit Log'!BI261="Yes",", Set Teacher","")&amp;IF('Visit Log'!BJ261="Yes",", Sound","")&amp;IF('Visit Log'!BK261="Yes",", SPFX","")&amp;IF('Visit Log'!BL261="Yes",", Video",""))="","",MID(IF('Visit Log'!AV261="Yes",", Art","")&amp;IF('Visit Log'!AW261="Yes",", Construction","")&amp;IF('Visit Log'!AX261="Yes",", Costumes","")&amp;IF('Visit Log'!AY261="Yes",", Craft Service","")&amp;IF('Visit Log'!AZ261="Yes",", Electrical","")&amp;IF('Visit Log'!BA261="Yes",", Greens","")&amp;IF('Visit Log'!BB261="Yes",", Grip","")&amp;IF('Visit Log'!BC261="Yes",", Locations","")&amp;IF('Visit Log'!BD261="Yes",", Medic","")&amp;IF('Visit Log'!BE261="Yes",", Paint","")&amp;IF('Visit Log'!BF261="Yes",", Plaster","")&amp;IF('Visit Log'!BG261="Yes",", Props","")&amp;IF('Visit Log'!BH261="Yes",", Set Dec","")&amp;IF('Visit Log'!BI261="Yes",", Set Teacher","")&amp;IF('Visit Log'!BJ261="Yes",", Sound","")&amp;IF('Visit Log'!BK261="Yes",", SPFX","")&amp;IF('Visit Log'!BL261="Yes",", Video",""),3,300)))</f>
        <v/>
      </c>
      <c r="F261" s="32">
        <f>IF('Visit Log'!C261="","",'Visit Log'!T261)</f>
        <v/>
      </c>
    </row>
    <row r="262">
      <c r="A262" s="28">
        <f>IF('Visit Log'!C262="","",'Visit Log'!A262)</f>
        <v/>
      </c>
      <c r="B262" s="28">
        <f>IF('Visit Log'!C262="","",'Visit Log'!C262)</f>
        <v/>
      </c>
      <c r="C262" s="28">
        <f>IF('Visit Log'!C262="","",'Visit Log'!D262)</f>
        <v/>
      </c>
      <c r="D262" s="29">
        <f>IF('Visit Log'!C262="","",'Visit Log'!B262)</f>
        <v/>
      </c>
      <c r="E262" s="28">
        <f>IF('Visit Log'!C262="","",IF((IF('Visit Log'!AV262="Yes",", Art","")&amp;IF('Visit Log'!AW262="Yes",", Construction","")&amp;IF('Visit Log'!AX262="Yes",", Costumes","")&amp;IF('Visit Log'!AY262="Yes",", Craft Service","")&amp;IF('Visit Log'!AZ262="Yes",", Electrical","")&amp;IF('Visit Log'!BA262="Yes",", Greens","")&amp;IF('Visit Log'!BB262="Yes",", Grip","")&amp;IF('Visit Log'!BC262="Yes",", Locations","")&amp;IF('Visit Log'!BD262="Yes",", Medic","")&amp;IF('Visit Log'!BE262="Yes",", Paint","")&amp;IF('Visit Log'!BF262="Yes",", Plaster","")&amp;IF('Visit Log'!BG262="Yes",", Props","")&amp;IF('Visit Log'!BH262="Yes",", Set Dec","")&amp;IF('Visit Log'!BI262="Yes",", Set Teacher","")&amp;IF('Visit Log'!BJ262="Yes",", Sound","")&amp;IF('Visit Log'!BK262="Yes",", SPFX","")&amp;IF('Visit Log'!BL262="Yes",", Video",""))="","",MID(IF('Visit Log'!AV262="Yes",", Art","")&amp;IF('Visit Log'!AW262="Yes",", Construction","")&amp;IF('Visit Log'!AX262="Yes",", Costumes","")&amp;IF('Visit Log'!AY262="Yes",", Craft Service","")&amp;IF('Visit Log'!AZ262="Yes",", Electrical","")&amp;IF('Visit Log'!BA262="Yes",", Greens","")&amp;IF('Visit Log'!BB262="Yes",", Grip","")&amp;IF('Visit Log'!BC262="Yes",", Locations","")&amp;IF('Visit Log'!BD262="Yes",", Medic","")&amp;IF('Visit Log'!BE262="Yes",", Paint","")&amp;IF('Visit Log'!BF262="Yes",", Plaster","")&amp;IF('Visit Log'!BG262="Yes",", Props","")&amp;IF('Visit Log'!BH262="Yes",", Set Dec","")&amp;IF('Visit Log'!BI262="Yes",", Set Teacher","")&amp;IF('Visit Log'!BJ262="Yes",", Sound","")&amp;IF('Visit Log'!BK262="Yes",", SPFX","")&amp;IF('Visit Log'!BL262="Yes",", Video",""),3,300)))</f>
        <v/>
      </c>
      <c r="F262" s="28">
        <f>IF('Visit Log'!C262="","",'Visit Log'!T262)</f>
        <v/>
      </c>
    </row>
    <row r="263">
      <c r="A263" s="32">
        <f>IF('Visit Log'!C263="","",'Visit Log'!A263)</f>
        <v/>
      </c>
      <c r="B263" s="32">
        <f>IF('Visit Log'!C263="","",'Visit Log'!C263)</f>
        <v/>
      </c>
      <c r="C263" s="32">
        <f>IF('Visit Log'!C263="","",'Visit Log'!D263)</f>
        <v/>
      </c>
      <c r="D263" s="33">
        <f>IF('Visit Log'!C263="","",'Visit Log'!B263)</f>
        <v/>
      </c>
      <c r="E263" s="32">
        <f>IF('Visit Log'!C263="","",IF((IF('Visit Log'!AV263="Yes",", Art","")&amp;IF('Visit Log'!AW263="Yes",", Construction","")&amp;IF('Visit Log'!AX263="Yes",", Costumes","")&amp;IF('Visit Log'!AY263="Yes",", Craft Service","")&amp;IF('Visit Log'!AZ263="Yes",", Electrical","")&amp;IF('Visit Log'!BA263="Yes",", Greens","")&amp;IF('Visit Log'!BB263="Yes",", Grip","")&amp;IF('Visit Log'!BC263="Yes",", Locations","")&amp;IF('Visit Log'!BD263="Yes",", Medic","")&amp;IF('Visit Log'!BE263="Yes",", Paint","")&amp;IF('Visit Log'!BF263="Yes",", Plaster","")&amp;IF('Visit Log'!BG263="Yes",", Props","")&amp;IF('Visit Log'!BH263="Yes",", Set Dec","")&amp;IF('Visit Log'!BI263="Yes",", Set Teacher","")&amp;IF('Visit Log'!BJ263="Yes",", Sound","")&amp;IF('Visit Log'!BK263="Yes",", SPFX","")&amp;IF('Visit Log'!BL263="Yes",", Video",""))="","",MID(IF('Visit Log'!AV263="Yes",", Art","")&amp;IF('Visit Log'!AW263="Yes",", Construction","")&amp;IF('Visit Log'!AX263="Yes",", Costumes","")&amp;IF('Visit Log'!AY263="Yes",", Craft Service","")&amp;IF('Visit Log'!AZ263="Yes",", Electrical","")&amp;IF('Visit Log'!BA263="Yes",", Greens","")&amp;IF('Visit Log'!BB263="Yes",", Grip","")&amp;IF('Visit Log'!BC263="Yes",", Locations","")&amp;IF('Visit Log'!BD263="Yes",", Medic","")&amp;IF('Visit Log'!BE263="Yes",", Paint","")&amp;IF('Visit Log'!BF263="Yes",", Plaster","")&amp;IF('Visit Log'!BG263="Yes",", Props","")&amp;IF('Visit Log'!BH263="Yes",", Set Dec","")&amp;IF('Visit Log'!BI263="Yes",", Set Teacher","")&amp;IF('Visit Log'!BJ263="Yes",", Sound","")&amp;IF('Visit Log'!BK263="Yes",", SPFX","")&amp;IF('Visit Log'!BL263="Yes",", Video",""),3,300)))</f>
        <v/>
      </c>
      <c r="F263" s="32">
        <f>IF('Visit Log'!C263="","",'Visit Log'!T263)</f>
        <v/>
      </c>
    </row>
    <row r="264">
      <c r="A264" s="28">
        <f>IF('Visit Log'!C264="","",'Visit Log'!A264)</f>
        <v/>
      </c>
      <c r="B264" s="28">
        <f>IF('Visit Log'!C264="","",'Visit Log'!C264)</f>
        <v/>
      </c>
      <c r="C264" s="28">
        <f>IF('Visit Log'!C264="","",'Visit Log'!D264)</f>
        <v/>
      </c>
      <c r="D264" s="29">
        <f>IF('Visit Log'!C264="","",'Visit Log'!B264)</f>
        <v/>
      </c>
      <c r="E264" s="28">
        <f>IF('Visit Log'!C264="","",IF((IF('Visit Log'!AV264="Yes",", Art","")&amp;IF('Visit Log'!AW264="Yes",", Construction","")&amp;IF('Visit Log'!AX264="Yes",", Costumes","")&amp;IF('Visit Log'!AY264="Yes",", Craft Service","")&amp;IF('Visit Log'!AZ264="Yes",", Electrical","")&amp;IF('Visit Log'!BA264="Yes",", Greens","")&amp;IF('Visit Log'!BB264="Yes",", Grip","")&amp;IF('Visit Log'!BC264="Yes",", Locations","")&amp;IF('Visit Log'!BD264="Yes",", Medic","")&amp;IF('Visit Log'!BE264="Yes",", Paint","")&amp;IF('Visit Log'!BF264="Yes",", Plaster","")&amp;IF('Visit Log'!BG264="Yes",", Props","")&amp;IF('Visit Log'!BH264="Yes",", Set Dec","")&amp;IF('Visit Log'!BI264="Yes",", Set Teacher","")&amp;IF('Visit Log'!BJ264="Yes",", Sound","")&amp;IF('Visit Log'!BK264="Yes",", SPFX","")&amp;IF('Visit Log'!BL264="Yes",", Video",""))="","",MID(IF('Visit Log'!AV264="Yes",", Art","")&amp;IF('Visit Log'!AW264="Yes",", Construction","")&amp;IF('Visit Log'!AX264="Yes",", Costumes","")&amp;IF('Visit Log'!AY264="Yes",", Craft Service","")&amp;IF('Visit Log'!AZ264="Yes",", Electrical","")&amp;IF('Visit Log'!BA264="Yes",", Greens","")&amp;IF('Visit Log'!BB264="Yes",", Grip","")&amp;IF('Visit Log'!BC264="Yes",", Locations","")&amp;IF('Visit Log'!BD264="Yes",", Medic","")&amp;IF('Visit Log'!BE264="Yes",", Paint","")&amp;IF('Visit Log'!BF264="Yes",", Plaster","")&amp;IF('Visit Log'!BG264="Yes",", Props","")&amp;IF('Visit Log'!BH264="Yes",", Set Dec","")&amp;IF('Visit Log'!BI264="Yes",", Set Teacher","")&amp;IF('Visit Log'!BJ264="Yes",", Sound","")&amp;IF('Visit Log'!BK264="Yes",", SPFX","")&amp;IF('Visit Log'!BL264="Yes",", Video",""),3,300)))</f>
        <v/>
      </c>
      <c r="F264" s="28">
        <f>IF('Visit Log'!C264="","",'Visit Log'!T264)</f>
        <v/>
      </c>
    </row>
    <row r="265">
      <c r="A265" s="32">
        <f>IF('Visit Log'!C265="","",'Visit Log'!A265)</f>
        <v/>
      </c>
      <c r="B265" s="32">
        <f>IF('Visit Log'!C265="","",'Visit Log'!C265)</f>
        <v/>
      </c>
      <c r="C265" s="32">
        <f>IF('Visit Log'!C265="","",'Visit Log'!D265)</f>
        <v/>
      </c>
      <c r="D265" s="33">
        <f>IF('Visit Log'!C265="","",'Visit Log'!B265)</f>
        <v/>
      </c>
      <c r="E265" s="32">
        <f>IF('Visit Log'!C265="","",IF((IF('Visit Log'!AV265="Yes",", Art","")&amp;IF('Visit Log'!AW265="Yes",", Construction","")&amp;IF('Visit Log'!AX265="Yes",", Costumes","")&amp;IF('Visit Log'!AY265="Yes",", Craft Service","")&amp;IF('Visit Log'!AZ265="Yes",", Electrical","")&amp;IF('Visit Log'!BA265="Yes",", Greens","")&amp;IF('Visit Log'!BB265="Yes",", Grip","")&amp;IF('Visit Log'!BC265="Yes",", Locations","")&amp;IF('Visit Log'!BD265="Yes",", Medic","")&amp;IF('Visit Log'!BE265="Yes",", Paint","")&amp;IF('Visit Log'!BF265="Yes",", Plaster","")&amp;IF('Visit Log'!BG265="Yes",", Props","")&amp;IF('Visit Log'!BH265="Yes",", Set Dec","")&amp;IF('Visit Log'!BI265="Yes",", Set Teacher","")&amp;IF('Visit Log'!BJ265="Yes",", Sound","")&amp;IF('Visit Log'!BK265="Yes",", SPFX","")&amp;IF('Visit Log'!BL265="Yes",", Video",""))="","",MID(IF('Visit Log'!AV265="Yes",", Art","")&amp;IF('Visit Log'!AW265="Yes",", Construction","")&amp;IF('Visit Log'!AX265="Yes",", Costumes","")&amp;IF('Visit Log'!AY265="Yes",", Craft Service","")&amp;IF('Visit Log'!AZ265="Yes",", Electrical","")&amp;IF('Visit Log'!BA265="Yes",", Greens","")&amp;IF('Visit Log'!BB265="Yes",", Grip","")&amp;IF('Visit Log'!BC265="Yes",", Locations","")&amp;IF('Visit Log'!BD265="Yes",", Medic","")&amp;IF('Visit Log'!BE265="Yes",", Paint","")&amp;IF('Visit Log'!BF265="Yes",", Plaster","")&amp;IF('Visit Log'!BG265="Yes",", Props","")&amp;IF('Visit Log'!BH265="Yes",", Set Dec","")&amp;IF('Visit Log'!BI265="Yes",", Set Teacher","")&amp;IF('Visit Log'!BJ265="Yes",", Sound","")&amp;IF('Visit Log'!BK265="Yes",", SPFX","")&amp;IF('Visit Log'!BL265="Yes",", Video",""),3,300)))</f>
        <v/>
      </c>
      <c r="F265" s="32">
        <f>IF('Visit Log'!C265="","",'Visit Log'!T265)</f>
        <v/>
      </c>
    </row>
    <row r="266">
      <c r="A266" s="28">
        <f>IF('Visit Log'!C266="","",'Visit Log'!A266)</f>
        <v/>
      </c>
      <c r="B266" s="28">
        <f>IF('Visit Log'!C266="","",'Visit Log'!C266)</f>
        <v/>
      </c>
      <c r="C266" s="28">
        <f>IF('Visit Log'!C266="","",'Visit Log'!D266)</f>
        <v/>
      </c>
      <c r="D266" s="29">
        <f>IF('Visit Log'!C266="","",'Visit Log'!B266)</f>
        <v/>
      </c>
      <c r="E266" s="28">
        <f>IF('Visit Log'!C266="","",IF((IF('Visit Log'!AV266="Yes",", Art","")&amp;IF('Visit Log'!AW266="Yes",", Construction","")&amp;IF('Visit Log'!AX266="Yes",", Costumes","")&amp;IF('Visit Log'!AY266="Yes",", Craft Service","")&amp;IF('Visit Log'!AZ266="Yes",", Electrical","")&amp;IF('Visit Log'!BA266="Yes",", Greens","")&amp;IF('Visit Log'!BB266="Yes",", Grip","")&amp;IF('Visit Log'!BC266="Yes",", Locations","")&amp;IF('Visit Log'!BD266="Yes",", Medic","")&amp;IF('Visit Log'!BE266="Yes",", Paint","")&amp;IF('Visit Log'!BF266="Yes",", Plaster","")&amp;IF('Visit Log'!BG266="Yes",", Props","")&amp;IF('Visit Log'!BH266="Yes",", Set Dec","")&amp;IF('Visit Log'!BI266="Yes",", Set Teacher","")&amp;IF('Visit Log'!BJ266="Yes",", Sound","")&amp;IF('Visit Log'!BK266="Yes",", SPFX","")&amp;IF('Visit Log'!BL266="Yes",", Video",""))="","",MID(IF('Visit Log'!AV266="Yes",", Art","")&amp;IF('Visit Log'!AW266="Yes",", Construction","")&amp;IF('Visit Log'!AX266="Yes",", Costumes","")&amp;IF('Visit Log'!AY266="Yes",", Craft Service","")&amp;IF('Visit Log'!AZ266="Yes",", Electrical","")&amp;IF('Visit Log'!BA266="Yes",", Greens","")&amp;IF('Visit Log'!BB266="Yes",", Grip","")&amp;IF('Visit Log'!BC266="Yes",", Locations","")&amp;IF('Visit Log'!BD266="Yes",", Medic","")&amp;IF('Visit Log'!BE266="Yes",", Paint","")&amp;IF('Visit Log'!BF266="Yes",", Plaster","")&amp;IF('Visit Log'!BG266="Yes",", Props","")&amp;IF('Visit Log'!BH266="Yes",", Set Dec","")&amp;IF('Visit Log'!BI266="Yes",", Set Teacher","")&amp;IF('Visit Log'!BJ266="Yes",", Sound","")&amp;IF('Visit Log'!BK266="Yes",", SPFX","")&amp;IF('Visit Log'!BL266="Yes",", Video",""),3,300)))</f>
        <v/>
      </c>
      <c r="F266" s="28">
        <f>IF('Visit Log'!C266="","",'Visit Log'!T266)</f>
        <v/>
      </c>
    </row>
    <row r="267">
      <c r="A267" s="32">
        <f>IF('Visit Log'!C267="","",'Visit Log'!A267)</f>
        <v/>
      </c>
      <c r="B267" s="32">
        <f>IF('Visit Log'!C267="","",'Visit Log'!C267)</f>
        <v/>
      </c>
      <c r="C267" s="32">
        <f>IF('Visit Log'!C267="","",'Visit Log'!D267)</f>
        <v/>
      </c>
      <c r="D267" s="33">
        <f>IF('Visit Log'!C267="","",'Visit Log'!B267)</f>
        <v/>
      </c>
      <c r="E267" s="32">
        <f>IF('Visit Log'!C267="","",IF((IF('Visit Log'!AV267="Yes",", Art","")&amp;IF('Visit Log'!AW267="Yes",", Construction","")&amp;IF('Visit Log'!AX267="Yes",", Costumes","")&amp;IF('Visit Log'!AY267="Yes",", Craft Service","")&amp;IF('Visit Log'!AZ267="Yes",", Electrical","")&amp;IF('Visit Log'!BA267="Yes",", Greens","")&amp;IF('Visit Log'!BB267="Yes",", Grip","")&amp;IF('Visit Log'!BC267="Yes",", Locations","")&amp;IF('Visit Log'!BD267="Yes",", Medic","")&amp;IF('Visit Log'!BE267="Yes",", Paint","")&amp;IF('Visit Log'!BF267="Yes",", Plaster","")&amp;IF('Visit Log'!BG267="Yes",", Props","")&amp;IF('Visit Log'!BH267="Yes",", Set Dec","")&amp;IF('Visit Log'!BI267="Yes",", Set Teacher","")&amp;IF('Visit Log'!BJ267="Yes",", Sound","")&amp;IF('Visit Log'!BK267="Yes",", SPFX","")&amp;IF('Visit Log'!BL267="Yes",", Video",""))="","",MID(IF('Visit Log'!AV267="Yes",", Art","")&amp;IF('Visit Log'!AW267="Yes",", Construction","")&amp;IF('Visit Log'!AX267="Yes",", Costumes","")&amp;IF('Visit Log'!AY267="Yes",", Craft Service","")&amp;IF('Visit Log'!AZ267="Yes",", Electrical","")&amp;IF('Visit Log'!BA267="Yes",", Greens","")&amp;IF('Visit Log'!BB267="Yes",", Grip","")&amp;IF('Visit Log'!BC267="Yes",", Locations","")&amp;IF('Visit Log'!BD267="Yes",", Medic","")&amp;IF('Visit Log'!BE267="Yes",", Paint","")&amp;IF('Visit Log'!BF267="Yes",", Plaster","")&amp;IF('Visit Log'!BG267="Yes",", Props","")&amp;IF('Visit Log'!BH267="Yes",", Set Dec","")&amp;IF('Visit Log'!BI267="Yes",", Set Teacher","")&amp;IF('Visit Log'!BJ267="Yes",", Sound","")&amp;IF('Visit Log'!BK267="Yes",", SPFX","")&amp;IF('Visit Log'!BL267="Yes",", Video",""),3,300)))</f>
        <v/>
      </c>
      <c r="F267" s="32">
        <f>IF('Visit Log'!C267="","",'Visit Log'!T267)</f>
        <v/>
      </c>
    </row>
    <row r="268">
      <c r="A268" s="28">
        <f>IF('Visit Log'!C268="","",'Visit Log'!A268)</f>
        <v/>
      </c>
      <c r="B268" s="28">
        <f>IF('Visit Log'!C268="","",'Visit Log'!C268)</f>
        <v/>
      </c>
      <c r="C268" s="28">
        <f>IF('Visit Log'!C268="","",'Visit Log'!D268)</f>
        <v/>
      </c>
      <c r="D268" s="29">
        <f>IF('Visit Log'!C268="","",'Visit Log'!B268)</f>
        <v/>
      </c>
      <c r="E268" s="28">
        <f>IF('Visit Log'!C268="","",IF((IF('Visit Log'!AV268="Yes",", Art","")&amp;IF('Visit Log'!AW268="Yes",", Construction","")&amp;IF('Visit Log'!AX268="Yes",", Costumes","")&amp;IF('Visit Log'!AY268="Yes",", Craft Service","")&amp;IF('Visit Log'!AZ268="Yes",", Electrical","")&amp;IF('Visit Log'!BA268="Yes",", Greens","")&amp;IF('Visit Log'!BB268="Yes",", Grip","")&amp;IF('Visit Log'!BC268="Yes",", Locations","")&amp;IF('Visit Log'!BD268="Yes",", Medic","")&amp;IF('Visit Log'!BE268="Yes",", Paint","")&amp;IF('Visit Log'!BF268="Yes",", Plaster","")&amp;IF('Visit Log'!BG268="Yes",", Props","")&amp;IF('Visit Log'!BH268="Yes",", Set Dec","")&amp;IF('Visit Log'!BI268="Yes",", Set Teacher","")&amp;IF('Visit Log'!BJ268="Yes",", Sound","")&amp;IF('Visit Log'!BK268="Yes",", SPFX","")&amp;IF('Visit Log'!BL268="Yes",", Video",""))="","",MID(IF('Visit Log'!AV268="Yes",", Art","")&amp;IF('Visit Log'!AW268="Yes",", Construction","")&amp;IF('Visit Log'!AX268="Yes",", Costumes","")&amp;IF('Visit Log'!AY268="Yes",", Craft Service","")&amp;IF('Visit Log'!AZ268="Yes",", Electrical","")&amp;IF('Visit Log'!BA268="Yes",", Greens","")&amp;IF('Visit Log'!BB268="Yes",", Grip","")&amp;IF('Visit Log'!BC268="Yes",", Locations","")&amp;IF('Visit Log'!BD268="Yes",", Medic","")&amp;IF('Visit Log'!BE268="Yes",", Paint","")&amp;IF('Visit Log'!BF268="Yes",", Plaster","")&amp;IF('Visit Log'!BG268="Yes",", Props","")&amp;IF('Visit Log'!BH268="Yes",", Set Dec","")&amp;IF('Visit Log'!BI268="Yes",", Set Teacher","")&amp;IF('Visit Log'!BJ268="Yes",", Sound","")&amp;IF('Visit Log'!BK268="Yes",", SPFX","")&amp;IF('Visit Log'!BL268="Yes",", Video",""),3,300)))</f>
        <v/>
      </c>
      <c r="F268" s="28">
        <f>IF('Visit Log'!C268="","",'Visit Log'!T268)</f>
        <v/>
      </c>
    </row>
    <row r="269">
      <c r="A269" s="32">
        <f>IF('Visit Log'!C269="","",'Visit Log'!A269)</f>
        <v/>
      </c>
      <c r="B269" s="32">
        <f>IF('Visit Log'!C269="","",'Visit Log'!C269)</f>
        <v/>
      </c>
      <c r="C269" s="32">
        <f>IF('Visit Log'!C269="","",'Visit Log'!D269)</f>
        <v/>
      </c>
      <c r="D269" s="33">
        <f>IF('Visit Log'!C269="","",'Visit Log'!B269)</f>
        <v/>
      </c>
      <c r="E269" s="32">
        <f>IF('Visit Log'!C269="","",IF((IF('Visit Log'!AV269="Yes",", Art","")&amp;IF('Visit Log'!AW269="Yes",", Construction","")&amp;IF('Visit Log'!AX269="Yes",", Costumes","")&amp;IF('Visit Log'!AY269="Yes",", Craft Service","")&amp;IF('Visit Log'!AZ269="Yes",", Electrical","")&amp;IF('Visit Log'!BA269="Yes",", Greens","")&amp;IF('Visit Log'!BB269="Yes",", Grip","")&amp;IF('Visit Log'!BC269="Yes",", Locations","")&amp;IF('Visit Log'!BD269="Yes",", Medic","")&amp;IF('Visit Log'!BE269="Yes",", Paint","")&amp;IF('Visit Log'!BF269="Yes",", Plaster","")&amp;IF('Visit Log'!BG269="Yes",", Props","")&amp;IF('Visit Log'!BH269="Yes",", Set Dec","")&amp;IF('Visit Log'!BI269="Yes",", Set Teacher","")&amp;IF('Visit Log'!BJ269="Yes",", Sound","")&amp;IF('Visit Log'!BK269="Yes",", SPFX","")&amp;IF('Visit Log'!BL269="Yes",", Video",""))="","",MID(IF('Visit Log'!AV269="Yes",", Art","")&amp;IF('Visit Log'!AW269="Yes",", Construction","")&amp;IF('Visit Log'!AX269="Yes",", Costumes","")&amp;IF('Visit Log'!AY269="Yes",", Craft Service","")&amp;IF('Visit Log'!AZ269="Yes",", Electrical","")&amp;IF('Visit Log'!BA269="Yes",", Greens","")&amp;IF('Visit Log'!BB269="Yes",", Grip","")&amp;IF('Visit Log'!BC269="Yes",", Locations","")&amp;IF('Visit Log'!BD269="Yes",", Medic","")&amp;IF('Visit Log'!BE269="Yes",", Paint","")&amp;IF('Visit Log'!BF269="Yes",", Plaster","")&amp;IF('Visit Log'!BG269="Yes",", Props","")&amp;IF('Visit Log'!BH269="Yes",", Set Dec","")&amp;IF('Visit Log'!BI269="Yes",", Set Teacher","")&amp;IF('Visit Log'!BJ269="Yes",", Sound","")&amp;IF('Visit Log'!BK269="Yes",", SPFX","")&amp;IF('Visit Log'!BL269="Yes",", Video",""),3,300)))</f>
        <v/>
      </c>
      <c r="F269" s="32">
        <f>IF('Visit Log'!C269="","",'Visit Log'!T269)</f>
        <v/>
      </c>
    </row>
    <row r="270">
      <c r="A270" s="28">
        <f>IF('Visit Log'!C270="","",'Visit Log'!A270)</f>
        <v/>
      </c>
      <c r="B270" s="28">
        <f>IF('Visit Log'!C270="","",'Visit Log'!C270)</f>
        <v/>
      </c>
      <c r="C270" s="28">
        <f>IF('Visit Log'!C270="","",'Visit Log'!D270)</f>
        <v/>
      </c>
      <c r="D270" s="29">
        <f>IF('Visit Log'!C270="","",'Visit Log'!B270)</f>
        <v/>
      </c>
      <c r="E270" s="28">
        <f>IF('Visit Log'!C270="","",IF((IF('Visit Log'!AV270="Yes",", Art","")&amp;IF('Visit Log'!AW270="Yes",", Construction","")&amp;IF('Visit Log'!AX270="Yes",", Costumes","")&amp;IF('Visit Log'!AY270="Yes",", Craft Service","")&amp;IF('Visit Log'!AZ270="Yes",", Electrical","")&amp;IF('Visit Log'!BA270="Yes",", Greens","")&amp;IF('Visit Log'!BB270="Yes",", Grip","")&amp;IF('Visit Log'!BC270="Yes",", Locations","")&amp;IF('Visit Log'!BD270="Yes",", Medic","")&amp;IF('Visit Log'!BE270="Yes",", Paint","")&amp;IF('Visit Log'!BF270="Yes",", Plaster","")&amp;IF('Visit Log'!BG270="Yes",", Props","")&amp;IF('Visit Log'!BH270="Yes",", Set Dec","")&amp;IF('Visit Log'!BI270="Yes",", Set Teacher","")&amp;IF('Visit Log'!BJ270="Yes",", Sound","")&amp;IF('Visit Log'!BK270="Yes",", SPFX","")&amp;IF('Visit Log'!BL270="Yes",", Video",""))="","",MID(IF('Visit Log'!AV270="Yes",", Art","")&amp;IF('Visit Log'!AW270="Yes",", Construction","")&amp;IF('Visit Log'!AX270="Yes",", Costumes","")&amp;IF('Visit Log'!AY270="Yes",", Craft Service","")&amp;IF('Visit Log'!AZ270="Yes",", Electrical","")&amp;IF('Visit Log'!BA270="Yes",", Greens","")&amp;IF('Visit Log'!BB270="Yes",", Grip","")&amp;IF('Visit Log'!BC270="Yes",", Locations","")&amp;IF('Visit Log'!BD270="Yes",", Medic","")&amp;IF('Visit Log'!BE270="Yes",", Paint","")&amp;IF('Visit Log'!BF270="Yes",", Plaster","")&amp;IF('Visit Log'!BG270="Yes",", Props","")&amp;IF('Visit Log'!BH270="Yes",", Set Dec","")&amp;IF('Visit Log'!BI270="Yes",", Set Teacher","")&amp;IF('Visit Log'!BJ270="Yes",", Sound","")&amp;IF('Visit Log'!BK270="Yes",", SPFX","")&amp;IF('Visit Log'!BL270="Yes",", Video",""),3,300)))</f>
        <v/>
      </c>
      <c r="F270" s="28">
        <f>IF('Visit Log'!C270="","",'Visit Log'!T270)</f>
        <v/>
      </c>
    </row>
    <row r="271">
      <c r="A271" s="32">
        <f>IF('Visit Log'!C271="","",'Visit Log'!A271)</f>
        <v/>
      </c>
      <c r="B271" s="32">
        <f>IF('Visit Log'!C271="","",'Visit Log'!C271)</f>
        <v/>
      </c>
      <c r="C271" s="32">
        <f>IF('Visit Log'!C271="","",'Visit Log'!D271)</f>
        <v/>
      </c>
      <c r="D271" s="33">
        <f>IF('Visit Log'!C271="","",'Visit Log'!B271)</f>
        <v/>
      </c>
      <c r="E271" s="32">
        <f>IF('Visit Log'!C271="","",IF((IF('Visit Log'!AV271="Yes",", Art","")&amp;IF('Visit Log'!AW271="Yes",", Construction","")&amp;IF('Visit Log'!AX271="Yes",", Costumes","")&amp;IF('Visit Log'!AY271="Yes",", Craft Service","")&amp;IF('Visit Log'!AZ271="Yes",", Electrical","")&amp;IF('Visit Log'!BA271="Yes",", Greens","")&amp;IF('Visit Log'!BB271="Yes",", Grip","")&amp;IF('Visit Log'!BC271="Yes",", Locations","")&amp;IF('Visit Log'!BD271="Yes",", Medic","")&amp;IF('Visit Log'!BE271="Yes",", Paint","")&amp;IF('Visit Log'!BF271="Yes",", Plaster","")&amp;IF('Visit Log'!BG271="Yes",", Props","")&amp;IF('Visit Log'!BH271="Yes",", Set Dec","")&amp;IF('Visit Log'!BI271="Yes",", Set Teacher","")&amp;IF('Visit Log'!BJ271="Yes",", Sound","")&amp;IF('Visit Log'!BK271="Yes",", SPFX","")&amp;IF('Visit Log'!BL271="Yes",", Video",""))="","",MID(IF('Visit Log'!AV271="Yes",", Art","")&amp;IF('Visit Log'!AW271="Yes",", Construction","")&amp;IF('Visit Log'!AX271="Yes",", Costumes","")&amp;IF('Visit Log'!AY271="Yes",", Craft Service","")&amp;IF('Visit Log'!AZ271="Yes",", Electrical","")&amp;IF('Visit Log'!BA271="Yes",", Greens","")&amp;IF('Visit Log'!BB271="Yes",", Grip","")&amp;IF('Visit Log'!BC271="Yes",", Locations","")&amp;IF('Visit Log'!BD271="Yes",", Medic","")&amp;IF('Visit Log'!BE271="Yes",", Paint","")&amp;IF('Visit Log'!BF271="Yes",", Plaster","")&amp;IF('Visit Log'!BG271="Yes",", Props","")&amp;IF('Visit Log'!BH271="Yes",", Set Dec","")&amp;IF('Visit Log'!BI271="Yes",", Set Teacher","")&amp;IF('Visit Log'!BJ271="Yes",", Sound","")&amp;IF('Visit Log'!BK271="Yes",", SPFX","")&amp;IF('Visit Log'!BL271="Yes",", Video",""),3,300)))</f>
        <v/>
      </c>
      <c r="F271" s="32">
        <f>IF('Visit Log'!C271="","",'Visit Log'!T271)</f>
        <v/>
      </c>
    </row>
    <row r="272">
      <c r="A272" s="28">
        <f>IF('Visit Log'!C272="","",'Visit Log'!A272)</f>
        <v/>
      </c>
      <c r="B272" s="28">
        <f>IF('Visit Log'!C272="","",'Visit Log'!C272)</f>
        <v/>
      </c>
      <c r="C272" s="28">
        <f>IF('Visit Log'!C272="","",'Visit Log'!D272)</f>
        <v/>
      </c>
      <c r="D272" s="29">
        <f>IF('Visit Log'!C272="","",'Visit Log'!B272)</f>
        <v/>
      </c>
      <c r="E272" s="28">
        <f>IF('Visit Log'!C272="","",IF((IF('Visit Log'!AV272="Yes",", Art","")&amp;IF('Visit Log'!AW272="Yes",", Construction","")&amp;IF('Visit Log'!AX272="Yes",", Costumes","")&amp;IF('Visit Log'!AY272="Yes",", Craft Service","")&amp;IF('Visit Log'!AZ272="Yes",", Electrical","")&amp;IF('Visit Log'!BA272="Yes",", Greens","")&amp;IF('Visit Log'!BB272="Yes",", Grip","")&amp;IF('Visit Log'!BC272="Yes",", Locations","")&amp;IF('Visit Log'!BD272="Yes",", Medic","")&amp;IF('Visit Log'!BE272="Yes",", Paint","")&amp;IF('Visit Log'!BF272="Yes",", Plaster","")&amp;IF('Visit Log'!BG272="Yes",", Props","")&amp;IF('Visit Log'!BH272="Yes",", Set Dec","")&amp;IF('Visit Log'!BI272="Yes",", Set Teacher","")&amp;IF('Visit Log'!BJ272="Yes",", Sound","")&amp;IF('Visit Log'!BK272="Yes",", SPFX","")&amp;IF('Visit Log'!BL272="Yes",", Video",""))="","",MID(IF('Visit Log'!AV272="Yes",", Art","")&amp;IF('Visit Log'!AW272="Yes",", Construction","")&amp;IF('Visit Log'!AX272="Yes",", Costumes","")&amp;IF('Visit Log'!AY272="Yes",", Craft Service","")&amp;IF('Visit Log'!AZ272="Yes",", Electrical","")&amp;IF('Visit Log'!BA272="Yes",", Greens","")&amp;IF('Visit Log'!BB272="Yes",", Grip","")&amp;IF('Visit Log'!BC272="Yes",", Locations","")&amp;IF('Visit Log'!BD272="Yes",", Medic","")&amp;IF('Visit Log'!BE272="Yes",", Paint","")&amp;IF('Visit Log'!BF272="Yes",", Plaster","")&amp;IF('Visit Log'!BG272="Yes",", Props","")&amp;IF('Visit Log'!BH272="Yes",", Set Dec","")&amp;IF('Visit Log'!BI272="Yes",", Set Teacher","")&amp;IF('Visit Log'!BJ272="Yes",", Sound","")&amp;IF('Visit Log'!BK272="Yes",", SPFX","")&amp;IF('Visit Log'!BL272="Yes",", Video",""),3,300)))</f>
        <v/>
      </c>
      <c r="F272" s="28">
        <f>IF('Visit Log'!C272="","",'Visit Log'!T272)</f>
        <v/>
      </c>
    </row>
    <row r="273">
      <c r="A273" s="32">
        <f>IF('Visit Log'!C273="","",'Visit Log'!A273)</f>
        <v/>
      </c>
      <c r="B273" s="32">
        <f>IF('Visit Log'!C273="","",'Visit Log'!C273)</f>
        <v/>
      </c>
      <c r="C273" s="32">
        <f>IF('Visit Log'!C273="","",'Visit Log'!D273)</f>
        <v/>
      </c>
      <c r="D273" s="33">
        <f>IF('Visit Log'!C273="","",'Visit Log'!B273)</f>
        <v/>
      </c>
      <c r="E273" s="32">
        <f>IF('Visit Log'!C273="","",IF((IF('Visit Log'!AV273="Yes",", Art","")&amp;IF('Visit Log'!AW273="Yes",", Construction","")&amp;IF('Visit Log'!AX273="Yes",", Costumes","")&amp;IF('Visit Log'!AY273="Yes",", Craft Service","")&amp;IF('Visit Log'!AZ273="Yes",", Electrical","")&amp;IF('Visit Log'!BA273="Yes",", Greens","")&amp;IF('Visit Log'!BB273="Yes",", Grip","")&amp;IF('Visit Log'!BC273="Yes",", Locations","")&amp;IF('Visit Log'!BD273="Yes",", Medic","")&amp;IF('Visit Log'!BE273="Yes",", Paint","")&amp;IF('Visit Log'!BF273="Yes",", Plaster","")&amp;IF('Visit Log'!BG273="Yes",", Props","")&amp;IF('Visit Log'!BH273="Yes",", Set Dec","")&amp;IF('Visit Log'!BI273="Yes",", Set Teacher","")&amp;IF('Visit Log'!BJ273="Yes",", Sound","")&amp;IF('Visit Log'!BK273="Yes",", SPFX","")&amp;IF('Visit Log'!BL273="Yes",", Video",""))="","",MID(IF('Visit Log'!AV273="Yes",", Art","")&amp;IF('Visit Log'!AW273="Yes",", Construction","")&amp;IF('Visit Log'!AX273="Yes",", Costumes","")&amp;IF('Visit Log'!AY273="Yes",", Craft Service","")&amp;IF('Visit Log'!AZ273="Yes",", Electrical","")&amp;IF('Visit Log'!BA273="Yes",", Greens","")&amp;IF('Visit Log'!BB273="Yes",", Grip","")&amp;IF('Visit Log'!BC273="Yes",", Locations","")&amp;IF('Visit Log'!BD273="Yes",", Medic","")&amp;IF('Visit Log'!BE273="Yes",", Paint","")&amp;IF('Visit Log'!BF273="Yes",", Plaster","")&amp;IF('Visit Log'!BG273="Yes",", Props","")&amp;IF('Visit Log'!BH273="Yes",", Set Dec","")&amp;IF('Visit Log'!BI273="Yes",", Set Teacher","")&amp;IF('Visit Log'!BJ273="Yes",", Sound","")&amp;IF('Visit Log'!BK273="Yes",", SPFX","")&amp;IF('Visit Log'!BL273="Yes",", Video",""),3,300)))</f>
        <v/>
      </c>
      <c r="F273" s="32">
        <f>IF('Visit Log'!C273="","",'Visit Log'!T273)</f>
        <v/>
      </c>
    </row>
    <row r="274">
      <c r="A274" s="28">
        <f>IF('Visit Log'!C274="","",'Visit Log'!A274)</f>
        <v/>
      </c>
      <c r="B274" s="28">
        <f>IF('Visit Log'!C274="","",'Visit Log'!C274)</f>
        <v/>
      </c>
      <c r="C274" s="28">
        <f>IF('Visit Log'!C274="","",'Visit Log'!D274)</f>
        <v/>
      </c>
      <c r="D274" s="29">
        <f>IF('Visit Log'!C274="","",'Visit Log'!B274)</f>
        <v/>
      </c>
      <c r="E274" s="28">
        <f>IF('Visit Log'!C274="","",IF((IF('Visit Log'!AV274="Yes",", Art","")&amp;IF('Visit Log'!AW274="Yes",", Construction","")&amp;IF('Visit Log'!AX274="Yes",", Costumes","")&amp;IF('Visit Log'!AY274="Yes",", Craft Service","")&amp;IF('Visit Log'!AZ274="Yes",", Electrical","")&amp;IF('Visit Log'!BA274="Yes",", Greens","")&amp;IF('Visit Log'!BB274="Yes",", Grip","")&amp;IF('Visit Log'!BC274="Yes",", Locations","")&amp;IF('Visit Log'!BD274="Yes",", Medic","")&amp;IF('Visit Log'!BE274="Yes",", Paint","")&amp;IF('Visit Log'!BF274="Yes",", Plaster","")&amp;IF('Visit Log'!BG274="Yes",", Props","")&amp;IF('Visit Log'!BH274="Yes",", Set Dec","")&amp;IF('Visit Log'!BI274="Yes",", Set Teacher","")&amp;IF('Visit Log'!BJ274="Yes",", Sound","")&amp;IF('Visit Log'!BK274="Yes",", SPFX","")&amp;IF('Visit Log'!BL274="Yes",", Video",""))="","",MID(IF('Visit Log'!AV274="Yes",", Art","")&amp;IF('Visit Log'!AW274="Yes",", Construction","")&amp;IF('Visit Log'!AX274="Yes",", Costumes","")&amp;IF('Visit Log'!AY274="Yes",", Craft Service","")&amp;IF('Visit Log'!AZ274="Yes",", Electrical","")&amp;IF('Visit Log'!BA274="Yes",", Greens","")&amp;IF('Visit Log'!BB274="Yes",", Grip","")&amp;IF('Visit Log'!BC274="Yes",", Locations","")&amp;IF('Visit Log'!BD274="Yes",", Medic","")&amp;IF('Visit Log'!BE274="Yes",", Paint","")&amp;IF('Visit Log'!BF274="Yes",", Plaster","")&amp;IF('Visit Log'!BG274="Yes",", Props","")&amp;IF('Visit Log'!BH274="Yes",", Set Dec","")&amp;IF('Visit Log'!BI274="Yes",", Set Teacher","")&amp;IF('Visit Log'!BJ274="Yes",", Sound","")&amp;IF('Visit Log'!BK274="Yes",", SPFX","")&amp;IF('Visit Log'!BL274="Yes",", Video",""),3,300)))</f>
        <v/>
      </c>
      <c r="F274" s="28">
        <f>IF('Visit Log'!C274="","",'Visit Log'!T274)</f>
        <v/>
      </c>
    </row>
    <row r="275">
      <c r="A275" s="32">
        <f>IF('Visit Log'!C275="","",'Visit Log'!A275)</f>
        <v/>
      </c>
      <c r="B275" s="32">
        <f>IF('Visit Log'!C275="","",'Visit Log'!C275)</f>
        <v/>
      </c>
      <c r="C275" s="32">
        <f>IF('Visit Log'!C275="","",'Visit Log'!D275)</f>
        <v/>
      </c>
      <c r="D275" s="33">
        <f>IF('Visit Log'!C275="","",'Visit Log'!B275)</f>
        <v/>
      </c>
      <c r="E275" s="32">
        <f>IF('Visit Log'!C275="","",IF((IF('Visit Log'!AV275="Yes",", Art","")&amp;IF('Visit Log'!AW275="Yes",", Construction","")&amp;IF('Visit Log'!AX275="Yes",", Costumes","")&amp;IF('Visit Log'!AY275="Yes",", Craft Service","")&amp;IF('Visit Log'!AZ275="Yes",", Electrical","")&amp;IF('Visit Log'!BA275="Yes",", Greens","")&amp;IF('Visit Log'!BB275="Yes",", Grip","")&amp;IF('Visit Log'!BC275="Yes",", Locations","")&amp;IF('Visit Log'!BD275="Yes",", Medic","")&amp;IF('Visit Log'!BE275="Yes",", Paint","")&amp;IF('Visit Log'!BF275="Yes",", Plaster","")&amp;IF('Visit Log'!BG275="Yes",", Props","")&amp;IF('Visit Log'!BH275="Yes",", Set Dec","")&amp;IF('Visit Log'!BI275="Yes",", Set Teacher","")&amp;IF('Visit Log'!BJ275="Yes",", Sound","")&amp;IF('Visit Log'!BK275="Yes",", SPFX","")&amp;IF('Visit Log'!BL275="Yes",", Video",""))="","",MID(IF('Visit Log'!AV275="Yes",", Art","")&amp;IF('Visit Log'!AW275="Yes",", Construction","")&amp;IF('Visit Log'!AX275="Yes",", Costumes","")&amp;IF('Visit Log'!AY275="Yes",", Craft Service","")&amp;IF('Visit Log'!AZ275="Yes",", Electrical","")&amp;IF('Visit Log'!BA275="Yes",", Greens","")&amp;IF('Visit Log'!BB275="Yes",", Grip","")&amp;IF('Visit Log'!BC275="Yes",", Locations","")&amp;IF('Visit Log'!BD275="Yes",", Medic","")&amp;IF('Visit Log'!BE275="Yes",", Paint","")&amp;IF('Visit Log'!BF275="Yes",", Plaster","")&amp;IF('Visit Log'!BG275="Yes",", Props","")&amp;IF('Visit Log'!BH275="Yes",", Set Dec","")&amp;IF('Visit Log'!BI275="Yes",", Set Teacher","")&amp;IF('Visit Log'!BJ275="Yes",", Sound","")&amp;IF('Visit Log'!BK275="Yes",", SPFX","")&amp;IF('Visit Log'!BL275="Yes",", Video",""),3,300)))</f>
        <v/>
      </c>
      <c r="F275" s="32">
        <f>IF('Visit Log'!C275="","",'Visit Log'!T275)</f>
        <v/>
      </c>
    </row>
    <row r="276">
      <c r="A276" s="28">
        <f>IF('Visit Log'!C276="","",'Visit Log'!A276)</f>
        <v/>
      </c>
      <c r="B276" s="28">
        <f>IF('Visit Log'!C276="","",'Visit Log'!C276)</f>
        <v/>
      </c>
      <c r="C276" s="28">
        <f>IF('Visit Log'!C276="","",'Visit Log'!D276)</f>
        <v/>
      </c>
      <c r="D276" s="29">
        <f>IF('Visit Log'!C276="","",'Visit Log'!B276)</f>
        <v/>
      </c>
      <c r="E276" s="28">
        <f>IF('Visit Log'!C276="","",IF((IF('Visit Log'!AV276="Yes",", Art","")&amp;IF('Visit Log'!AW276="Yes",", Construction","")&amp;IF('Visit Log'!AX276="Yes",", Costumes","")&amp;IF('Visit Log'!AY276="Yes",", Craft Service","")&amp;IF('Visit Log'!AZ276="Yes",", Electrical","")&amp;IF('Visit Log'!BA276="Yes",", Greens","")&amp;IF('Visit Log'!BB276="Yes",", Grip","")&amp;IF('Visit Log'!BC276="Yes",", Locations","")&amp;IF('Visit Log'!BD276="Yes",", Medic","")&amp;IF('Visit Log'!BE276="Yes",", Paint","")&amp;IF('Visit Log'!BF276="Yes",", Plaster","")&amp;IF('Visit Log'!BG276="Yes",", Props","")&amp;IF('Visit Log'!BH276="Yes",", Set Dec","")&amp;IF('Visit Log'!BI276="Yes",", Set Teacher","")&amp;IF('Visit Log'!BJ276="Yes",", Sound","")&amp;IF('Visit Log'!BK276="Yes",", SPFX","")&amp;IF('Visit Log'!BL276="Yes",", Video",""))="","",MID(IF('Visit Log'!AV276="Yes",", Art","")&amp;IF('Visit Log'!AW276="Yes",", Construction","")&amp;IF('Visit Log'!AX276="Yes",", Costumes","")&amp;IF('Visit Log'!AY276="Yes",", Craft Service","")&amp;IF('Visit Log'!AZ276="Yes",", Electrical","")&amp;IF('Visit Log'!BA276="Yes",", Greens","")&amp;IF('Visit Log'!BB276="Yes",", Grip","")&amp;IF('Visit Log'!BC276="Yes",", Locations","")&amp;IF('Visit Log'!BD276="Yes",", Medic","")&amp;IF('Visit Log'!BE276="Yes",", Paint","")&amp;IF('Visit Log'!BF276="Yes",", Plaster","")&amp;IF('Visit Log'!BG276="Yes",", Props","")&amp;IF('Visit Log'!BH276="Yes",", Set Dec","")&amp;IF('Visit Log'!BI276="Yes",", Set Teacher","")&amp;IF('Visit Log'!BJ276="Yes",", Sound","")&amp;IF('Visit Log'!BK276="Yes",", SPFX","")&amp;IF('Visit Log'!BL276="Yes",", Video",""),3,300)))</f>
        <v/>
      </c>
      <c r="F276" s="28">
        <f>IF('Visit Log'!C276="","",'Visit Log'!T276)</f>
        <v/>
      </c>
    </row>
    <row r="277">
      <c r="A277" s="32">
        <f>IF('Visit Log'!C277="","",'Visit Log'!A277)</f>
        <v/>
      </c>
      <c r="B277" s="32">
        <f>IF('Visit Log'!C277="","",'Visit Log'!C277)</f>
        <v/>
      </c>
      <c r="C277" s="32">
        <f>IF('Visit Log'!C277="","",'Visit Log'!D277)</f>
        <v/>
      </c>
      <c r="D277" s="33">
        <f>IF('Visit Log'!C277="","",'Visit Log'!B277)</f>
        <v/>
      </c>
      <c r="E277" s="32">
        <f>IF('Visit Log'!C277="","",IF((IF('Visit Log'!AV277="Yes",", Art","")&amp;IF('Visit Log'!AW277="Yes",", Construction","")&amp;IF('Visit Log'!AX277="Yes",", Costumes","")&amp;IF('Visit Log'!AY277="Yes",", Craft Service","")&amp;IF('Visit Log'!AZ277="Yes",", Electrical","")&amp;IF('Visit Log'!BA277="Yes",", Greens","")&amp;IF('Visit Log'!BB277="Yes",", Grip","")&amp;IF('Visit Log'!BC277="Yes",", Locations","")&amp;IF('Visit Log'!BD277="Yes",", Medic","")&amp;IF('Visit Log'!BE277="Yes",", Paint","")&amp;IF('Visit Log'!BF277="Yes",", Plaster","")&amp;IF('Visit Log'!BG277="Yes",", Props","")&amp;IF('Visit Log'!BH277="Yes",", Set Dec","")&amp;IF('Visit Log'!BI277="Yes",", Set Teacher","")&amp;IF('Visit Log'!BJ277="Yes",", Sound","")&amp;IF('Visit Log'!BK277="Yes",", SPFX","")&amp;IF('Visit Log'!BL277="Yes",", Video",""))="","",MID(IF('Visit Log'!AV277="Yes",", Art","")&amp;IF('Visit Log'!AW277="Yes",", Construction","")&amp;IF('Visit Log'!AX277="Yes",", Costumes","")&amp;IF('Visit Log'!AY277="Yes",", Craft Service","")&amp;IF('Visit Log'!AZ277="Yes",", Electrical","")&amp;IF('Visit Log'!BA277="Yes",", Greens","")&amp;IF('Visit Log'!BB277="Yes",", Grip","")&amp;IF('Visit Log'!BC277="Yes",", Locations","")&amp;IF('Visit Log'!BD277="Yes",", Medic","")&amp;IF('Visit Log'!BE277="Yes",", Paint","")&amp;IF('Visit Log'!BF277="Yes",", Plaster","")&amp;IF('Visit Log'!BG277="Yes",", Props","")&amp;IF('Visit Log'!BH277="Yes",", Set Dec","")&amp;IF('Visit Log'!BI277="Yes",", Set Teacher","")&amp;IF('Visit Log'!BJ277="Yes",", Sound","")&amp;IF('Visit Log'!BK277="Yes",", SPFX","")&amp;IF('Visit Log'!BL277="Yes",", Video",""),3,300)))</f>
        <v/>
      </c>
      <c r="F277" s="32">
        <f>IF('Visit Log'!C277="","",'Visit Log'!T277)</f>
        <v/>
      </c>
    </row>
    <row r="278">
      <c r="A278" s="28">
        <f>IF('Visit Log'!C278="","",'Visit Log'!A278)</f>
        <v/>
      </c>
      <c r="B278" s="28">
        <f>IF('Visit Log'!C278="","",'Visit Log'!C278)</f>
        <v/>
      </c>
      <c r="C278" s="28">
        <f>IF('Visit Log'!C278="","",'Visit Log'!D278)</f>
        <v/>
      </c>
      <c r="D278" s="29">
        <f>IF('Visit Log'!C278="","",'Visit Log'!B278)</f>
        <v/>
      </c>
      <c r="E278" s="28">
        <f>IF('Visit Log'!C278="","",IF((IF('Visit Log'!AV278="Yes",", Art","")&amp;IF('Visit Log'!AW278="Yes",", Construction","")&amp;IF('Visit Log'!AX278="Yes",", Costumes","")&amp;IF('Visit Log'!AY278="Yes",", Craft Service","")&amp;IF('Visit Log'!AZ278="Yes",", Electrical","")&amp;IF('Visit Log'!BA278="Yes",", Greens","")&amp;IF('Visit Log'!BB278="Yes",", Grip","")&amp;IF('Visit Log'!BC278="Yes",", Locations","")&amp;IF('Visit Log'!BD278="Yes",", Medic","")&amp;IF('Visit Log'!BE278="Yes",", Paint","")&amp;IF('Visit Log'!BF278="Yes",", Plaster","")&amp;IF('Visit Log'!BG278="Yes",", Props","")&amp;IF('Visit Log'!BH278="Yes",", Set Dec","")&amp;IF('Visit Log'!BI278="Yes",", Set Teacher","")&amp;IF('Visit Log'!BJ278="Yes",", Sound","")&amp;IF('Visit Log'!BK278="Yes",", SPFX","")&amp;IF('Visit Log'!BL278="Yes",", Video",""))="","",MID(IF('Visit Log'!AV278="Yes",", Art","")&amp;IF('Visit Log'!AW278="Yes",", Construction","")&amp;IF('Visit Log'!AX278="Yes",", Costumes","")&amp;IF('Visit Log'!AY278="Yes",", Craft Service","")&amp;IF('Visit Log'!AZ278="Yes",", Electrical","")&amp;IF('Visit Log'!BA278="Yes",", Greens","")&amp;IF('Visit Log'!BB278="Yes",", Grip","")&amp;IF('Visit Log'!BC278="Yes",", Locations","")&amp;IF('Visit Log'!BD278="Yes",", Medic","")&amp;IF('Visit Log'!BE278="Yes",", Paint","")&amp;IF('Visit Log'!BF278="Yes",", Plaster","")&amp;IF('Visit Log'!BG278="Yes",", Props","")&amp;IF('Visit Log'!BH278="Yes",", Set Dec","")&amp;IF('Visit Log'!BI278="Yes",", Set Teacher","")&amp;IF('Visit Log'!BJ278="Yes",", Sound","")&amp;IF('Visit Log'!BK278="Yes",", SPFX","")&amp;IF('Visit Log'!BL278="Yes",", Video",""),3,300)))</f>
        <v/>
      </c>
      <c r="F278" s="28">
        <f>IF('Visit Log'!C278="","",'Visit Log'!T278)</f>
        <v/>
      </c>
    </row>
    <row r="279">
      <c r="A279" s="32">
        <f>IF('Visit Log'!C279="","",'Visit Log'!A279)</f>
        <v/>
      </c>
      <c r="B279" s="32">
        <f>IF('Visit Log'!C279="","",'Visit Log'!C279)</f>
        <v/>
      </c>
      <c r="C279" s="32">
        <f>IF('Visit Log'!C279="","",'Visit Log'!D279)</f>
        <v/>
      </c>
      <c r="D279" s="33">
        <f>IF('Visit Log'!C279="","",'Visit Log'!B279)</f>
        <v/>
      </c>
      <c r="E279" s="32">
        <f>IF('Visit Log'!C279="","",IF((IF('Visit Log'!AV279="Yes",", Art","")&amp;IF('Visit Log'!AW279="Yes",", Construction","")&amp;IF('Visit Log'!AX279="Yes",", Costumes","")&amp;IF('Visit Log'!AY279="Yes",", Craft Service","")&amp;IF('Visit Log'!AZ279="Yes",", Electrical","")&amp;IF('Visit Log'!BA279="Yes",", Greens","")&amp;IF('Visit Log'!BB279="Yes",", Grip","")&amp;IF('Visit Log'!BC279="Yes",", Locations","")&amp;IF('Visit Log'!BD279="Yes",", Medic","")&amp;IF('Visit Log'!BE279="Yes",", Paint","")&amp;IF('Visit Log'!BF279="Yes",", Plaster","")&amp;IF('Visit Log'!BG279="Yes",", Props","")&amp;IF('Visit Log'!BH279="Yes",", Set Dec","")&amp;IF('Visit Log'!BI279="Yes",", Set Teacher","")&amp;IF('Visit Log'!BJ279="Yes",", Sound","")&amp;IF('Visit Log'!BK279="Yes",", SPFX","")&amp;IF('Visit Log'!BL279="Yes",", Video",""))="","",MID(IF('Visit Log'!AV279="Yes",", Art","")&amp;IF('Visit Log'!AW279="Yes",", Construction","")&amp;IF('Visit Log'!AX279="Yes",", Costumes","")&amp;IF('Visit Log'!AY279="Yes",", Craft Service","")&amp;IF('Visit Log'!AZ279="Yes",", Electrical","")&amp;IF('Visit Log'!BA279="Yes",", Greens","")&amp;IF('Visit Log'!BB279="Yes",", Grip","")&amp;IF('Visit Log'!BC279="Yes",", Locations","")&amp;IF('Visit Log'!BD279="Yes",", Medic","")&amp;IF('Visit Log'!BE279="Yes",", Paint","")&amp;IF('Visit Log'!BF279="Yes",", Plaster","")&amp;IF('Visit Log'!BG279="Yes",", Props","")&amp;IF('Visit Log'!BH279="Yes",", Set Dec","")&amp;IF('Visit Log'!BI279="Yes",", Set Teacher","")&amp;IF('Visit Log'!BJ279="Yes",", Sound","")&amp;IF('Visit Log'!BK279="Yes",", SPFX","")&amp;IF('Visit Log'!BL279="Yes",", Video",""),3,300)))</f>
        <v/>
      </c>
      <c r="F279" s="32">
        <f>IF('Visit Log'!C279="","",'Visit Log'!T279)</f>
        <v/>
      </c>
    </row>
    <row r="280">
      <c r="A280" s="28">
        <f>IF('Visit Log'!C280="","",'Visit Log'!A280)</f>
        <v/>
      </c>
      <c r="B280" s="28">
        <f>IF('Visit Log'!C280="","",'Visit Log'!C280)</f>
        <v/>
      </c>
      <c r="C280" s="28">
        <f>IF('Visit Log'!C280="","",'Visit Log'!D280)</f>
        <v/>
      </c>
      <c r="D280" s="29">
        <f>IF('Visit Log'!C280="","",'Visit Log'!B280)</f>
        <v/>
      </c>
      <c r="E280" s="28">
        <f>IF('Visit Log'!C280="","",IF((IF('Visit Log'!AV280="Yes",", Art","")&amp;IF('Visit Log'!AW280="Yes",", Construction","")&amp;IF('Visit Log'!AX280="Yes",", Costumes","")&amp;IF('Visit Log'!AY280="Yes",", Craft Service","")&amp;IF('Visit Log'!AZ280="Yes",", Electrical","")&amp;IF('Visit Log'!BA280="Yes",", Greens","")&amp;IF('Visit Log'!BB280="Yes",", Grip","")&amp;IF('Visit Log'!BC280="Yes",", Locations","")&amp;IF('Visit Log'!BD280="Yes",", Medic","")&amp;IF('Visit Log'!BE280="Yes",", Paint","")&amp;IF('Visit Log'!BF280="Yes",", Plaster","")&amp;IF('Visit Log'!BG280="Yes",", Props","")&amp;IF('Visit Log'!BH280="Yes",", Set Dec","")&amp;IF('Visit Log'!BI280="Yes",", Set Teacher","")&amp;IF('Visit Log'!BJ280="Yes",", Sound","")&amp;IF('Visit Log'!BK280="Yes",", SPFX","")&amp;IF('Visit Log'!BL280="Yes",", Video",""))="","",MID(IF('Visit Log'!AV280="Yes",", Art","")&amp;IF('Visit Log'!AW280="Yes",", Construction","")&amp;IF('Visit Log'!AX280="Yes",", Costumes","")&amp;IF('Visit Log'!AY280="Yes",", Craft Service","")&amp;IF('Visit Log'!AZ280="Yes",", Electrical","")&amp;IF('Visit Log'!BA280="Yes",", Greens","")&amp;IF('Visit Log'!BB280="Yes",", Grip","")&amp;IF('Visit Log'!BC280="Yes",", Locations","")&amp;IF('Visit Log'!BD280="Yes",", Medic","")&amp;IF('Visit Log'!BE280="Yes",", Paint","")&amp;IF('Visit Log'!BF280="Yes",", Plaster","")&amp;IF('Visit Log'!BG280="Yes",", Props","")&amp;IF('Visit Log'!BH280="Yes",", Set Dec","")&amp;IF('Visit Log'!BI280="Yes",", Set Teacher","")&amp;IF('Visit Log'!BJ280="Yes",", Sound","")&amp;IF('Visit Log'!BK280="Yes",", SPFX","")&amp;IF('Visit Log'!BL280="Yes",", Video",""),3,300)))</f>
        <v/>
      </c>
      <c r="F280" s="28">
        <f>IF('Visit Log'!C280="","",'Visit Log'!T280)</f>
        <v/>
      </c>
    </row>
    <row r="281">
      <c r="A281" s="32">
        <f>IF('Visit Log'!C281="","",'Visit Log'!A281)</f>
        <v/>
      </c>
      <c r="B281" s="32">
        <f>IF('Visit Log'!C281="","",'Visit Log'!C281)</f>
        <v/>
      </c>
      <c r="C281" s="32">
        <f>IF('Visit Log'!C281="","",'Visit Log'!D281)</f>
        <v/>
      </c>
      <c r="D281" s="33">
        <f>IF('Visit Log'!C281="","",'Visit Log'!B281)</f>
        <v/>
      </c>
      <c r="E281" s="32">
        <f>IF('Visit Log'!C281="","",IF((IF('Visit Log'!AV281="Yes",", Art","")&amp;IF('Visit Log'!AW281="Yes",", Construction","")&amp;IF('Visit Log'!AX281="Yes",", Costumes","")&amp;IF('Visit Log'!AY281="Yes",", Craft Service","")&amp;IF('Visit Log'!AZ281="Yes",", Electrical","")&amp;IF('Visit Log'!BA281="Yes",", Greens","")&amp;IF('Visit Log'!BB281="Yes",", Grip","")&amp;IF('Visit Log'!BC281="Yes",", Locations","")&amp;IF('Visit Log'!BD281="Yes",", Medic","")&amp;IF('Visit Log'!BE281="Yes",", Paint","")&amp;IF('Visit Log'!BF281="Yes",", Plaster","")&amp;IF('Visit Log'!BG281="Yes",", Props","")&amp;IF('Visit Log'!BH281="Yes",", Set Dec","")&amp;IF('Visit Log'!BI281="Yes",", Set Teacher","")&amp;IF('Visit Log'!BJ281="Yes",", Sound","")&amp;IF('Visit Log'!BK281="Yes",", SPFX","")&amp;IF('Visit Log'!BL281="Yes",", Video",""))="","",MID(IF('Visit Log'!AV281="Yes",", Art","")&amp;IF('Visit Log'!AW281="Yes",", Construction","")&amp;IF('Visit Log'!AX281="Yes",", Costumes","")&amp;IF('Visit Log'!AY281="Yes",", Craft Service","")&amp;IF('Visit Log'!AZ281="Yes",", Electrical","")&amp;IF('Visit Log'!BA281="Yes",", Greens","")&amp;IF('Visit Log'!BB281="Yes",", Grip","")&amp;IF('Visit Log'!BC281="Yes",", Locations","")&amp;IF('Visit Log'!BD281="Yes",", Medic","")&amp;IF('Visit Log'!BE281="Yes",", Paint","")&amp;IF('Visit Log'!BF281="Yes",", Plaster","")&amp;IF('Visit Log'!BG281="Yes",", Props","")&amp;IF('Visit Log'!BH281="Yes",", Set Dec","")&amp;IF('Visit Log'!BI281="Yes",", Set Teacher","")&amp;IF('Visit Log'!BJ281="Yes",", Sound","")&amp;IF('Visit Log'!BK281="Yes",", SPFX","")&amp;IF('Visit Log'!BL281="Yes",", Video",""),3,300)))</f>
        <v/>
      </c>
      <c r="F281" s="32">
        <f>IF('Visit Log'!C281="","",'Visit Log'!T281)</f>
        <v/>
      </c>
    </row>
    <row r="282">
      <c r="A282" s="28">
        <f>IF('Visit Log'!C282="","",'Visit Log'!A282)</f>
        <v/>
      </c>
      <c r="B282" s="28">
        <f>IF('Visit Log'!C282="","",'Visit Log'!C282)</f>
        <v/>
      </c>
      <c r="C282" s="28">
        <f>IF('Visit Log'!C282="","",'Visit Log'!D282)</f>
        <v/>
      </c>
      <c r="D282" s="29">
        <f>IF('Visit Log'!C282="","",'Visit Log'!B282)</f>
        <v/>
      </c>
      <c r="E282" s="28">
        <f>IF('Visit Log'!C282="","",IF((IF('Visit Log'!AV282="Yes",", Art","")&amp;IF('Visit Log'!AW282="Yes",", Construction","")&amp;IF('Visit Log'!AX282="Yes",", Costumes","")&amp;IF('Visit Log'!AY282="Yes",", Craft Service","")&amp;IF('Visit Log'!AZ282="Yes",", Electrical","")&amp;IF('Visit Log'!BA282="Yes",", Greens","")&amp;IF('Visit Log'!BB282="Yes",", Grip","")&amp;IF('Visit Log'!BC282="Yes",", Locations","")&amp;IF('Visit Log'!BD282="Yes",", Medic","")&amp;IF('Visit Log'!BE282="Yes",", Paint","")&amp;IF('Visit Log'!BF282="Yes",", Plaster","")&amp;IF('Visit Log'!BG282="Yes",", Props","")&amp;IF('Visit Log'!BH282="Yes",", Set Dec","")&amp;IF('Visit Log'!BI282="Yes",", Set Teacher","")&amp;IF('Visit Log'!BJ282="Yes",", Sound","")&amp;IF('Visit Log'!BK282="Yes",", SPFX","")&amp;IF('Visit Log'!BL282="Yes",", Video",""))="","",MID(IF('Visit Log'!AV282="Yes",", Art","")&amp;IF('Visit Log'!AW282="Yes",", Construction","")&amp;IF('Visit Log'!AX282="Yes",", Costumes","")&amp;IF('Visit Log'!AY282="Yes",", Craft Service","")&amp;IF('Visit Log'!AZ282="Yes",", Electrical","")&amp;IF('Visit Log'!BA282="Yes",", Greens","")&amp;IF('Visit Log'!BB282="Yes",", Grip","")&amp;IF('Visit Log'!BC282="Yes",", Locations","")&amp;IF('Visit Log'!BD282="Yes",", Medic","")&amp;IF('Visit Log'!BE282="Yes",", Paint","")&amp;IF('Visit Log'!BF282="Yes",", Plaster","")&amp;IF('Visit Log'!BG282="Yes",", Props","")&amp;IF('Visit Log'!BH282="Yes",", Set Dec","")&amp;IF('Visit Log'!BI282="Yes",", Set Teacher","")&amp;IF('Visit Log'!BJ282="Yes",", Sound","")&amp;IF('Visit Log'!BK282="Yes",", SPFX","")&amp;IF('Visit Log'!BL282="Yes",", Video",""),3,300)))</f>
        <v/>
      </c>
      <c r="F282" s="28">
        <f>IF('Visit Log'!C282="","",'Visit Log'!T282)</f>
        <v/>
      </c>
    </row>
    <row r="283">
      <c r="A283" s="32">
        <f>IF('Visit Log'!C283="","",'Visit Log'!A283)</f>
        <v/>
      </c>
      <c r="B283" s="32">
        <f>IF('Visit Log'!C283="","",'Visit Log'!C283)</f>
        <v/>
      </c>
      <c r="C283" s="32">
        <f>IF('Visit Log'!C283="","",'Visit Log'!D283)</f>
        <v/>
      </c>
      <c r="D283" s="33">
        <f>IF('Visit Log'!C283="","",'Visit Log'!B283)</f>
        <v/>
      </c>
      <c r="E283" s="32">
        <f>IF('Visit Log'!C283="","",IF((IF('Visit Log'!AV283="Yes",", Art","")&amp;IF('Visit Log'!AW283="Yes",", Construction","")&amp;IF('Visit Log'!AX283="Yes",", Costumes","")&amp;IF('Visit Log'!AY283="Yes",", Craft Service","")&amp;IF('Visit Log'!AZ283="Yes",", Electrical","")&amp;IF('Visit Log'!BA283="Yes",", Greens","")&amp;IF('Visit Log'!BB283="Yes",", Grip","")&amp;IF('Visit Log'!BC283="Yes",", Locations","")&amp;IF('Visit Log'!BD283="Yes",", Medic","")&amp;IF('Visit Log'!BE283="Yes",", Paint","")&amp;IF('Visit Log'!BF283="Yes",", Plaster","")&amp;IF('Visit Log'!BG283="Yes",", Props","")&amp;IF('Visit Log'!BH283="Yes",", Set Dec","")&amp;IF('Visit Log'!BI283="Yes",", Set Teacher","")&amp;IF('Visit Log'!BJ283="Yes",", Sound","")&amp;IF('Visit Log'!BK283="Yes",", SPFX","")&amp;IF('Visit Log'!BL283="Yes",", Video",""))="","",MID(IF('Visit Log'!AV283="Yes",", Art","")&amp;IF('Visit Log'!AW283="Yes",", Construction","")&amp;IF('Visit Log'!AX283="Yes",", Costumes","")&amp;IF('Visit Log'!AY283="Yes",", Craft Service","")&amp;IF('Visit Log'!AZ283="Yes",", Electrical","")&amp;IF('Visit Log'!BA283="Yes",", Greens","")&amp;IF('Visit Log'!BB283="Yes",", Grip","")&amp;IF('Visit Log'!BC283="Yes",", Locations","")&amp;IF('Visit Log'!BD283="Yes",", Medic","")&amp;IF('Visit Log'!BE283="Yes",", Paint","")&amp;IF('Visit Log'!BF283="Yes",", Plaster","")&amp;IF('Visit Log'!BG283="Yes",", Props","")&amp;IF('Visit Log'!BH283="Yes",", Set Dec","")&amp;IF('Visit Log'!BI283="Yes",", Set Teacher","")&amp;IF('Visit Log'!BJ283="Yes",", Sound","")&amp;IF('Visit Log'!BK283="Yes",", SPFX","")&amp;IF('Visit Log'!BL283="Yes",", Video",""),3,300)))</f>
        <v/>
      </c>
      <c r="F283" s="32">
        <f>IF('Visit Log'!C283="","",'Visit Log'!T283)</f>
        <v/>
      </c>
    </row>
    <row r="284">
      <c r="A284" s="28">
        <f>IF('Visit Log'!C284="","",'Visit Log'!A284)</f>
        <v/>
      </c>
      <c r="B284" s="28">
        <f>IF('Visit Log'!C284="","",'Visit Log'!C284)</f>
        <v/>
      </c>
      <c r="C284" s="28">
        <f>IF('Visit Log'!C284="","",'Visit Log'!D284)</f>
        <v/>
      </c>
      <c r="D284" s="29">
        <f>IF('Visit Log'!C284="","",'Visit Log'!B284)</f>
        <v/>
      </c>
      <c r="E284" s="28">
        <f>IF('Visit Log'!C284="","",IF((IF('Visit Log'!AV284="Yes",", Art","")&amp;IF('Visit Log'!AW284="Yes",", Construction","")&amp;IF('Visit Log'!AX284="Yes",", Costumes","")&amp;IF('Visit Log'!AY284="Yes",", Craft Service","")&amp;IF('Visit Log'!AZ284="Yes",", Electrical","")&amp;IF('Visit Log'!BA284="Yes",", Greens","")&amp;IF('Visit Log'!BB284="Yes",", Grip","")&amp;IF('Visit Log'!BC284="Yes",", Locations","")&amp;IF('Visit Log'!BD284="Yes",", Medic","")&amp;IF('Visit Log'!BE284="Yes",", Paint","")&amp;IF('Visit Log'!BF284="Yes",", Plaster","")&amp;IF('Visit Log'!BG284="Yes",", Props","")&amp;IF('Visit Log'!BH284="Yes",", Set Dec","")&amp;IF('Visit Log'!BI284="Yes",", Set Teacher","")&amp;IF('Visit Log'!BJ284="Yes",", Sound","")&amp;IF('Visit Log'!BK284="Yes",", SPFX","")&amp;IF('Visit Log'!BL284="Yes",", Video",""))="","",MID(IF('Visit Log'!AV284="Yes",", Art","")&amp;IF('Visit Log'!AW284="Yes",", Construction","")&amp;IF('Visit Log'!AX284="Yes",", Costumes","")&amp;IF('Visit Log'!AY284="Yes",", Craft Service","")&amp;IF('Visit Log'!AZ284="Yes",", Electrical","")&amp;IF('Visit Log'!BA284="Yes",", Greens","")&amp;IF('Visit Log'!BB284="Yes",", Grip","")&amp;IF('Visit Log'!BC284="Yes",", Locations","")&amp;IF('Visit Log'!BD284="Yes",", Medic","")&amp;IF('Visit Log'!BE284="Yes",", Paint","")&amp;IF('Visit Log'!BF284="Yes",", Plaster","")&amp;IF('Visit Log'!BG284="Yes",", Props","")&amp;IF('Visit Log'!BH284="Yes",", Set Dec","")&amp;IF('Visit Log'!BI284="Yes",", Set Teacher","")&amp;IF('Visit Log'!BJ284="Yes",", Sound","")&amp;IF('Visit Log'!BK284="Yes",", SPFX","")&amp;IF('Visit Log'!BL284="Yes",", Video",""),3,300)))</f>
        <v/>
      </c>
      <c r="F284" s="28">
        <f>IF('Visit Log'!C284="","",'Visit Log'!T284)</f>
        <v/>
      </c>
    </row>
    <row r="285">
      <c r="A285" s="32">
        <f>IF('Visit Log'!C285="","",'Visit Log'!A285)</f>
        <v/>
      </c>
      <c r="B285" s="32">
        <f>IF('Visit Log'!C285="","",'Visit Log'!C285)</f>
        <v/>
      </c>
      <c r="C285" s="32">
        <f>IF('Visit Log'!C285="","",'Visit Log'!D285)</f>
        <v/>
      </c>
      <c r="D285" s="33">
        <f>IF('Visit Log'!C285="","",'Visit Log'!B285)</f>
        <v/>
      </c>
      <c r="E285" s="32">
        <f>IF('Visit Log'!C285="","",IF((IF('Visit Log'!AV285="Yes",", Art","")&amp;IF('Visit Log'!AW285="Yes",", Construction","")&amp;IF('Visit Log'!AX285="Yes",", Costumes","")&amp;IF('Visit Log'!AY285="Yes",", Craft Service","")&amp;IF('Visit Log'!AZ285="Yes",", Electrical","")&amp;IF('Visit Log'!BA285="Yes",", Greens","")&amp;IF('Visit Log'!BB285="Yes",", Grip","")&amp;IF('Visit Log'!BC285="Yes",", Locations","")&amp;IF('Visit Log'!BD285="Yes",", Medic","")&amp;IF('Visit Log'!BE285="Yes",", Paint","")&amp;IF('Visit Log'!BF285="Yes",", Plaster","")&amp;IF('Visit Log'!BG285="Yes",", Props","")&amp;IF('Visit Log'!BH285="Yes",", Set Dec","")&amp;IF('Visit Log'!BI285="Yes",", Set Teacher","")&amp;IF('Visit Log'!BJ285="Yes",", Sound","")&amp;IF('Visit Log'!BK285="Yes",", SPFX","")&amp;IF('Visit Log'!BL285="Yes",", Video",""))="","",MID(IF('Visit Log'!AV285="Yes",", Art","")&amp;IF('Visit Log'!AW285="Yes",", Construction","")&amp;IF('Visit Log'!AX285="Yes",", Costumes","")&amp;IF('Visit Log'!AY285="Yes",", Craft Service","")&amp;IF('Visit Log'!AZ285="Yes",", Electrical","")&amp;IF('Visit Log'!BA285="Yes",", Greens","")&amp;IF('Visit Log'!BB285="Yes",", Grip","")&amp;IF('Visit Log'!BC285="Yes",", Locations","")&amp;IF('Visit Log'!BD285="Yes",", Medic","")&amp;IF('Visit Log'!BE285="Yes",", Paint","")&amp;IF('Visit Log'!BF285="Yes",", Plaster","")&amp;IF('Visit Log'!BG285="Yes",", Props","")&amp;IF('Visit Log'!BH285="Yes",", Set Dec","")&amp;IF('Visit Log'!BI285="Yes",", Set Teacher","")&amp;IF('Visit Log'!BJ285="Yes",", Sound","")&amp;IF('Visit Log'!BK285="Yes",", SPFX","")&amp;IF('Visit Log'!BL285="Yes",", Video",""),3,300)))</f>
        <v/>
      </c>
      <c r="F285" s="32">
        <f>IF('Visit Log'!C285="","",'Visit Log'!T285)</f>
        <v/>
      </c>
    </row>
    <row r="286">
      <c r="A286" s="28">
        <f>IF('Visit Log'!C286="","",'Visit Log'!A286)</f>
        <v/>
      </c>
      <c r="B286" s="28">
        <f>IF('Visit Log'!C286="","",'Visit Log'!C286)</f>
        <v/>
      </c>
      <c r="C286" s="28">
        <f>IF('Visit Log'!C286="","",'Visit Log'!D286)</f>
        <v/>
      </c>
      <c r="D286" s="29">
        <f>IF('Visit Log'!C286="","",'Visit Log'!B286)</f>
        <v/>
      </c>
      <c r="E286" s="28">
        <f>IF('Visit Log'!C286="","",IF((IF('Visit Log'!AV286="Yes",", Art","")&amp;IF('Visit Log'!AW286="Yes",", Construction","")&amp;IF('Visit Log'!AX286="Yes",", Costumes","")&amp;IF('Visit Log'!AY286="Yes",", Craft Service","")&amp;IF('Visit Log'!AZ286="Yes",", Electrical","")&amp;IF('Visit Log'!BA286="Yes",", Greens","")&amp;IF('Visit Log'!BB286="Yes",", Grip","")&amp;IF('Visit Log'!BC286="Yes",", Locations","")&amp;IF('Visit Log'!BD286="Yes",", Medic","")&amp;IF('Visit Log'!BE286="Yes",", Paint","")&amp;IF('Visit Log'!BF286="Yes",", Plaster","")&amp;IF('Visit Log'!BG286="Yes",", Props","")&amp;IF('Visit Log'!BH286="Yes",", Set Dec","")&amp;IF('Visit Log'!BI286="Yes",", Set Teacher","")&amp;IF('Visit Log'!BJ286="Yes",", Sound","")&amp;IF('Visit Log'!BK286="Yes",", SPFX","")&amp;IF('Visit Log'!BL286="Yes",", Video",""))="","",MID(IF('Visit Log'!AV286="Yes",", Art","")&amp;IF('Visit Log'!AW286="Yes",", Construction","")&amp;IF('Visit Log'!AX286="Yes",", Costumes","")&amp;IF('Visit Log'!AY286="Yes",", Craft Service","")&amp;IF('Visit Log'!AZ286="Yes",", Electrical","")&amp;IF('Visit Log'!BA286="Yes",", Greens","")&amp;IF('Visit Log'!BB286="Yes",", Grip","")&amp;IF('Visit Log'!BC286="Yes",", Locations","")&amp;IF('Visit Log'!BD286="Yes",", Medic","")&amp;IF('Visit Log'!BE286="Yes",", Paint","")&amp;IF('Visit Log'!BF286="Yes",", Plaster","")&amp;IF('Visit Log'!BG286="Yes",", Props","")&amp;IF('Visit Log'!BH286="Yes",", Set Dec","")&amp;IF('Visit Log'!BI286="Yes",", Set Teacher","")&amp;IF('Visit Log'!BJ286="Yes",", Sound","")&amp;IF('Visit Log'!BK286="Yes",", SPFX","")&amp;IF('Visit Log'!BL286="Yes",", Video",""),3,300)))</f>
        <v/>
      </c>
      <c r="F286" s="28">
        <f>IF('Visit Log'!C286="","",'Visit Log'!T286)</f>
        <v/>
      </c>
    </row>
    <row r="287">
      <c r="A287" s="32">
        <f>IF('Visit Log'!C287="","",'Visit Log'!A287)</f>
        <v/>
      </c>
      <c r="B287" s="32">
        <f>IF('Visit Log'!C287="","",'Visit Log'!C287)</f>
        <v/>
      </c>
      <c r="C287" s="32">
        <f>IF('Visit Log'!C287="","",'Visit Log'!D287)</f>
        <v/>
      </c>
      <c r="D287" s="33">
        <f>IF('Visit Log'!C287="","",'Visit Log'!B287)</f>
        <v/>
      </c>
      <c r="E287" s="32">
        <f>IF('Visit Log'!C287="","",IF((IF('Visit Log'!AV287="Yes",", Art","")&amp;IF('Visit Log'!AW287="Yes",", Construction","")&amp;IF('Visit Log'!AX287="Yes",", Costumes","")&amp;IF('Visit Log'!AY287="Yes",", Craft Service","")&amp;IF('Visit Log'!AZ287="Yes",", Electrical","")&amp;IF('Visit Log'!BA287="Yes",", Greens","")&amp;IF('Visit Log'!BB287="Yes",", Grip","")&amp;IF('Visit Log'!BC287="Yes",", Locations","")&amp;IF('Visit Log'!BD287="Yes",", Medic","")&amp;IF('Visit Log'!BE287="Yes",", Paint","")&amp;IF('Visit Log'!BF287="Yes",", Plaster","")&amp;IF('Visit Log'!BG287="Yes",", Props","")&amp;IF('Visit Log'!BH287="Yes",", Set Dec","")&amp;IF('Visit Log'!BI287="Yes",", Set Teacher","")&amp;IF('Visit Log'!BJ287="Yes",", Sound","")&amp;IF('Visit Log'!BK287="Yes",", SPFX","")&amp;IF('Visit Log'!BL287="Yes",", Video",""))="","",MID(IF('Visit Log'!AV287="Yes",", Art","")&amp;IF('Visit Log'!AW287="Yes",", Construction","")&amp;IF('Visit Log'!AX287="Yes",", Costumes","")&amp;IF('Visit Log'!AY287="Yes",", Craft Service","")&amp;IF('Visit Log'!AZ287="Yes",", Electrical","")&amp;IF('Visit Log'!BA287="Yes",", Greens","")&amp;IF('Visit Log'!BB287="Yes",", Grip","")&amp;IF('Visit Log'!BC287="Yes",", Locations","")&amp;IF('Visit Log'!BD287="Yes",", Medic","")&amp;IF('Visit Log'!BE287="Yes",", Paint","")&amp;IF('Visit Log'!BF287="Yes",", Plaster","")&amp;IF('Visit Log'!BG287="Yes",", Props","")&amp;IF('Visit Log'!BH287="Yes",", Set Dec","")&amp;IF('Visit Log'!BI287="Yes",", Set Teacher","")&amp;IF('Visit Log'!BJ287="Yes",", Sound","")&amp;IF('Visit Log'!BK287="Yes",", SPFX","")&amp;IF('Visit Log'!BL287="Yes",", Video",""),3,300)))</f>
        <v/>
      </c>
      <c r="F287" s="32">
        <f>IF('Visit Log'!C287="","",'Visit Log'!T287)</f>
        <v/>
      </c>
    </row>
    <row r="288">
      <c r="A288" s="28">
        <f>IF('Visit Log'!C288="","",'Visit Log'!A288)</f>
        <v/>
      </c>
      <c r="B288" s="28">
        <f>IF('Visit Log'!C288="","",'Visit Log'!C288)</f>
        <v/>
      </c>
      <c r="C288" s="28">
        <f>IF('Visit Log'!C288="","",'Visit Log'!D288)</f>
        <v/>
      </c>
      <c r="D288" s="29">
        <f>IF('Visit Log'!C288="","",'Visit Log'!B288)</f>
        <v/>
      </c>
      <c r="E288" s="28">
        <f>IF('Visit Log'!C288="","",IF((IF('Visit Log'!AV288="Yes",", Art","")&amp;IF('Visit Log'!AW288="Yes",", Construction","")&amp;IF('Visit Log'!AX288="Yes",", Costumes","")&amp;IF('Visit Log'!AY288="Yes",", Craft Service","")&amp;IF('Visit Log'!AZ288="Yes",", Electrical","")&amp;IF('Visit Log'!BA288="Yes",", Greens","")&amp;IF('Visit Log'!BB288="Yes",", Grip","")&amp;IF('Visit Log'!BC288="Yes",", Locations","")&amp;IF('Visit Log'!BD288="Yes",", Medic","")&amp;IF('Visit Log'!BE288="Yes",", Paint","")&amp;IF('Visit Log'!BF288="Yes",", Plaster","")&amp;IF('Visit Log'!BG288="Yes",", Props","")&amp;IF('Visit Log'!BH288="Yes",", Set Dec","")&amp;IF('Visit Log'!BI288="Yes",", Set Teacher","")&amp;IF('Visit Log'!BJ288="Yes",", Sound","")&amp;IF('Visit Log'!BK288="Yes",", SPFX","")&amp;IF('Visit Log'!BL288="Yes",", Video",""))="","",MID(IF('Visit Log'!AV288="Yes",", Art","")&amp;IF('Visit Log'!AW288="Yes",", Construction","")&amp;IF('Visit Log'!AX288="Yes",", Costumes","")&amp;IF('Visit Log'!AY288="Yes",", Craft Service","")&amp;IF('Visit Log'!AZ288="Yes",", Electrical","")&amp;IF('Visit Log'!BA288="Yes",", Greens","")&amp;IF('Visit Log'!BB288="Yes",", Grip","")&amp;IF('Visit Log'!BC288="Yes",", Locations","")&amp;IF('Visit Log'!BD288="Yes",", Medic","")&amp;IF('Visit Log'!BE288="Yes",", Paint","")&amp;IF('Visit Log'!BF288="Yes",", Plaster","")&amp;IF('Visit Log'!BG288="Yes",", Props","")&amp;IF('Visit Log'!BH288="Yes",", Set Dec","")&amp;IF('Visit Log'!BI288="Yes",", Set Teacher","")&amp;IF('Visit Log'!BJ288="Yes",", Sound","")&amp;IF('Visit Log'!BK288="Yes",", SPFX","")&amp;IF('Visit Log'!BL288="Yes",", Video",""),3,300)))</f>
        <v/>
      </c>
      <c r="F288" s="28">
        <f>IF('Visit Log'!C288="","",'Visit Log'!T288)</f>
        <v/>
      </c>
    </row>
    <row r="289">
      <c r="A289" s="32">
        <f>IF('Visit Log'!C289="","",'Visit Log'!A289)</f>
        <v/>
      </c>
      <c r="B289" s="32">
        <f>IF('Visit Log'!C289="","",'Visit Log'!C289)</f>
        <v/>
      </c>
      <c r="C289" s="32">
        <f>IF('Visit Log'!C289="","",'Visit Log'!D289)</f>
        <v/>
      </c>
      <c r="D289" s="33">
        <f>IF('Visit Log'!C289="","",'Visit Log'!B289)</f>
        <v/>
      </c>
      <c r="E289" s="32">
        <f>IF('Visit Log'!C289="","",IF((IF('Visit Log'!AV289="Yes",", Art","")&amp;IF('Visit Log'!AW289="Yes",", Construction","")&amp;IF('Visit Log'!AX289="Yes",", Costumes","")&amp;IF('Visit Log'!AY289="Yes",", Craft Service","")&amp;IF('Visit Log'!AZ289="Yes",", Electrical","")&amp;IF('Visit Log'!BA289="Yes",", Greens","")&amp;IF('Visit Log'!BB289="Yes",", Grip","")&amp;IF('Visit Log'!BC289="Yes",", Locations","")&amp;IF('Visit Log'!BD289="Yes",", Medic","")&amp;IF('Visit Log'!BE289="Yes",", Paint","")&amp;IF('Visit Log'!BF289="Yes",", Plaster","")&amp;IF('Visit Log'!BG289="Yes",", Props","")&amp;IF('Visit Log'!BH289="Yes",", Set Dec","")&amp;IF('Visit Log'!BI289="Yes",", Set Teacher","")&amp;IF('Visit Log'!BJ289="Yes",", Sound","")&amp;IF('Visit Log'!BK289="Yes",", SPFX","")&amp;IF('Visit Log'!BL289="Yes",", Video",""))="","",MID(IF('Visit Log'!AV289="Yes",", Art","")&amp;IF('Visit Log'!AW289="Yes",", Construction","")&amp;IF('Visit Log'!AX289="Yes",", Costumes","")&amp;IF('Visit Log'!AY289="Yes",", Craft Service","")&amp;IF('Visit Log'!AZ289="Yes",", Electrical","")&amp;IF('Visit Log'!BA289="Yes",", Greens","")&amp;IF('Visit Log'!BB289="Yes",", Grip","")&amp;IF('Visit Log'!BC289="Yes",", Locations","")&amp;IF('Visit Log'!BD289="Yes",", Medic","")&amp;IF('Visit Log'!BE289="Yes",", Paint","")&amp;IF('Visit Log'!BF289="Yes",", Plaster","")&amp;IF('Visit Log'!BG289="Yes",", Props","")&amp;IF('Visit Log'!BH289="Yes",", Set Dec","")&amp;IF('Visit Log'!BI289="Yes",", Set Teacher","")&amp;IF('Visit Log'!BJ289="Yes",", Sound","")&amp;IF('Visit Log'!BK289="Yes",", SPFX","")&amp;IF('Visit Log'!BL289="Yes",", Video",""),3,300)))</f>
        <v/>
      </c>
      <c r="F289" s="32">
        <f>IF('Visit Log'!C289="","",'Visit Log'!T289)</f>
        <v/>
      </c>
    </row>
    <row r="290">
      <c r="A290" s="28">
        <f>IF('Visit Log'!C290="","",'Visit Log'!A290)</f>
        <v/>
      </c>
      <c r="B290" s="28">
        <f>IF('Visit Log'!C290="","",'Visit Log'!C290)</f>
        <v/>
      </c>
      <c r="C290" s="28">
        <f>IF('Visit Log'!C290="","",'Visit Log'!D290)</f>
        <v/>
      </c>
      <c r="D290" s="29">
        <f>IF('Visit Log'!C290="","",'Visit Log'!B290)</f>
        <v/>
      </c>
      <c r="E290" s="28">
        <f>IF('Visit Log'!C290="","",IF((IF('Visit Log'!AV290="Yes",", Art","")&amp;IF('Visit Log'!AW290="Yes",", Construction","")&amp;IF('Visit Log'!AX290="Yes",", Costumes","")&amp;IF('Visit Log'!AY290="Yes",", Craft Service","")&amp;IF('Visit Log'!AZ290="Yes",", Electrical","")&amp;IF('Visit Log'!BA290="Yes",", Greens","")&amp;IF('Visit Log'!BB290="Yes",", Grip","")&amp;IF('Visit Log'!BC290="Yes",", Locations","")&amp;IF('Visit Log'!BD290="Yes",", Medic","")&amp;IF('Visit Log'!BE290="Yes",", Paint","")&amp;IF('Visit Log'!BF290="Yes",", Plaster","")&amp;IF('Visit Log'!BG290="Yes",", Props","")&amp;IF('Visit Log'!BH290="Yes",", Set Dec","")&amp;IF('Visit Log'!BI290="Yes",", Set Teacher","")&amp;IF('Visit Log'!BJ290="Yes",", Sound","")&amp;IF('Visit Log'!BK290="Yes",", SPFX","")&amp;IF('Visit Log'!BL290="Yes",", Video",""))="","",MID(IF('Visit Log'!AV290="Yes",", Art","")&amp;IF('Visit Log'!AW290="Yes",", Construction","")&amp;IF('Visit Log'!AX290="Yes",", Costumes","")&amp;IF('Visit Log'!AY290="Yes",", Craft Service","")&amp;IF('Visit Log'!AZ290="Yes",", Electrical","")&amp;IF('Visit Log'!BA290="Yes",", Greens","")&amp;IF('Visit Log'!BB290="Yes",", Grip","")&amp;IF('Visit Log'!BC290="Yes",", Locations","")&amp;IF('Visit Log'!BD290="Yes",", Medic","")&amp;IF('Visit Log'!BE290="Yes",", Paint","")&amp;IF('Visit Log'!BF290="Yes",", Plaster","")&amp;IF('Visit Log'!BG290="Yes",", Props","")&amp;IF('Visit Log'!BH290="Yes",", Set Dec","")&amp;IF('Visit Log'!BI290="Yes",", Set Teacher","")&amp;IF('Visit Log'!BJ290="Yes",", Sound","")&amp;IF('Visit Log'!BK290="Yes",", SPFX","")&amp;IF('Visit Log'!BL290="Yes",", Video",""),3,300)))</f>
        <v/>
      </c>
      <c r="F290" s="28">
        <f>IF('Visit Log'!C290="","",'Visit Log'!T290)</f>
        <v/>
      </c>
    </row>
    <row r="291">
      <c r="A291" s="32">
        <f>IF('Visit Log'!C291="","",'Visit Log'!A291)</f>
        <v/>
      </c>
      <c r="B291" s="32">
        <f>IF('Visit Log'!C291="","",'Visit Log'!C291)</f>
        <v/>
      </c>
      <c r="C291" s="32">
        <f>IF('Visit Log'!C291="","",'Visit Log'!D291)</f>
        <v/>
      </c>
      <c r="D291" s="33">
        <f>IF('Visit Log'!C291="","",'Visit Log'!B291)</f>
        <v/>
      </c>
      <c r="E291" s="32">
        <f>IF('Visit Log'!C291="","",IF((IF('Visit Log'!AV291="Yes",", Art","")&amp;IF('Visit Log'!AW291="Yes",", Construction","")&amp;IF('Visit Log'!AX291="Yes",", Costumes","")&amp;IF('Visit Log'!AY291="Yes",", Craft Service","")&amp;IF('Visit Log'!AZ291="Yes",", Electrical","")&amp;IF('Visit Log'!BA291="Yes",", Greens","")&amp;IF('Visit Log'!BB291="Yes",", Grip","")&amp;IF('Visit Log'!BC291="Yes",", Locations","")&amp;IF('Visit Log'!BD291="Yes",", Medic","")&amp;IF('Visit Log'!BE291="Yes",", Paint","")&amp;IF('Visit Log'!BF291="Yes",", Plaster","")&amp;IF('Visit Log'!BG291="Yes",", Props","")&amp;IF('Visit Log'!BH291="Yes",", Set Dec","")&amp;IF('Visit Log'!BI291="Yes",", Set Teacher","")&amp;IF('Visit Log'!BJ291="Yes",", Sound","")&amp;IF('Visit Log'!BK291="Yes",", SPFX","")&amp;IF('Visit Log'!BL291="Yes",", Video",""))="","",MID(IF('Visit Log'!AV291="Yes",", Art","")&amp;IF('Visit Log'!AW291="Yes",", Construction","")&amp;IF('Visit Log'!AX291="Yes",", Costumes","")&amp;IF('Visit Log'!AY291="Yes",", Craft Service","")&amp;IF('Visit Log'!AZ291="Yes",", Electrical","")&amp;IF('Visit Log'!BA291="Yes",", Greens","")&amp;IF('Visit Log'!BB291="Yes",", Grip","")&amp;IF('Visit Log'!BC291="Yes",", Locations","")&amp;IF('Visit Log'!BD291="Yes",", Medic","")&amp;IF('Visit Log'!BE291="Yes",", Paint","")&amp;IF('Visit Log'!BF291="Yes",", Plaster","")&amp;IF('Visit Log'!BG291="Yes",", Props","")&amp;IF('Visit Log'!BH291="Yes",", Set Dec","")&amp;IF('Visit Log'!BI291="Yes",", Set Teacher","")&amp;IF('Visit Log'!BJ291="Yes",", Sound","")&amp;IF('Visit Log'!BK291="Yes",", SPFX","")&amp;IF('Visit Log'!BL291="Yes",", Video",""),3,300)))</f>
        <v/>
      </c>
      <c r="F291" s="32">
        <f>IF('Visit Log'!C291="","",'Visit Log'!T291)</f>
        <v/>
      </c>
    </row>
    <row r="292">
      <c r="A292" s="28">
        <f>IF('Visit Log'!C292="","",'Visit Log'!A292)</f>
        <v/>
      </c>
      <c r="B292" s="28">
        <f>IF('Visit Log'!C292="","",'Visit Log'!C292)</f>
        <v/>
      </c>
      <c r="C292" s="28">
        <f>IF('Visit Log'!C292="","",'Visit Log'!D292)</f>
        <v/>
      </c>
      <c r="D292" s="29">
        <f>IF('Visit Log'!C292="","",'Visit Log'!B292)</f>
        <v/>
      </c>
      <c r="E292" s="28">
        <f>IF('Visit Log'!C292="","",IF((IF('Visit Log'!AV292="Yes",", Art","")&amp;IF('Visit Log'!AW292="Yes",", Construction","")&amp;IF('Visit Log'!AX292="Yes",", Costumes","")&amp;IF('Visit Log'!AY292="Yes",", Craft Service","")&amp;IF('Visit Log'!AZ292="Yes",", Electrical","")&amp;IF('Visit Log'!BA292="Yes",", Greens","")&amp;IF('Visit Log'!BB292="Yes",", Grip","")&amp;IF('Visit Log'!BC292="Yes",", Locations","")&amp;IF('Visit Log'!BD292="Yes",", Medic","")&amp;IF('Visit Log'!BE292="Yes",", Paint","")&amp;IF('Visit Log'!BF292="Yes",", Plaster","")&amp;IF('Visit Log'!BG292="Yes",", Props","")&amp;IF('Visit Log'!BH292="Yes",", Set Dec","")&amp;IF('Visit Log'!BI292="Yes",", Set Teacher","")&amp;IF('Visit Log'!BJ292="Yes",", Sound","")&amp;IF('Visit Log'!BK292="Yes",", SPFX","")&amp;IF('Visit Log'!BL292="Yes",", Video",""))="","",MID(IF('Visit Log'!AV292="Yes",", Art","")&amp;IF('Visit Log'!AW292="Yes",", Construction","")&amp;IF('Visit Log'!AX292="Yes",", Costumes","")&amp;IF('Visit Log'!AY292="Yes",", Craft Service","")&amp;IF('Visit Log'!AZ292="Yes",", Electrical","")&amp;IF('Visit Log'!BA292="Yes",", Greens","")&amp;IF('Visit Log'!BB292="Yes",", Grip","")&amp;IF('Visit Log'!BC292="Yes",", Locations","")&amp;IF('Visit Log'!BD292="Yes",", Medic","")&amp;IF('Visit Log'!BE292="Yes",", Paint","")&amp;IF('Visit Log'!BF292="Yes",", Plaster","")&amp;IF('Visit Log'!BG292="Yes",", Props","")&amp;IF('Visit Log'!BH292="Yes",", Set Dec","")&amp;IF('Visit Log'!BI292="Yes",", Set Teacher","")&amp;IF('Visit Log'!BJ292="Yes",", Sound","")&amp;IF('Visit Log'!BK292="Yes",", SPFX","")&amp;IF('Visit Log'!BL292="Yes",", Video",""),3,300)))</f>
        <v/>
      </c>
      <c r="F292" s="28">
        <f>IF('Visit Log'!C292="","",'Visit Log'!T292)</f>
        <v/>
      </c>
    </row>
    <row r="293">
      <c r="A293" s="32">
        <f>IF('Visit Log'!C293="","",'Visit Log'!A293)</f>
        <v/>
      </c>
      <c r="B293" s="32">
        <f>IF('Visit Log'!C293="","",'Visit Log'!C293)</f>
        <v/>
      </c>
      <c r="C293" s="32">
        <f>IF('Visit Log'!C293="","",'Visit Log'!D293)</f>
        <v/>
      </c>
      <c r="D293" s="33">
        <f>IF('Visit Log'!C293="","",'Visit Log'!B293)</f>
        <v/>
      </c>
      <c r="E293" s="32">
        <f>IF('Visit Log'!C293="","",IF((IF('Visit Log'!AV293="Yes",", Art","")&amp;IF('Visit Log'!AW293="Yes",", Construction","")&amp;IF('Visit Log'!AX293="Yes",", Costumes","")&amp;IF('Visit Log'!AY293="Yes",", Craft Service","")&amp;IF('Visit Log'!AZ293="Yes",", Electrical","")&amp;IF('Visit Log'!BA293="Yes",", Greens","")&amp;IF('Visit Log'!BB293="Yes",", Grip","")&amp;IF('Visit Log'!BC293="Yes",", Locations","")&amp;IF('Visit Log'!BD293="Yes",", Medic","")&amp;IF('Visit Log'!BE293="Yes",", Paint","")&amp;IF('Visit Log'!BF293="Yes",", Plaster","")&amp;IF('Visit Log'!BG293="Yes",", Props","")&amp;IF('Visit Log'!BH293="Yes",", Set Dec","")&amp;IF('Visit Log'!BI293="Yes",", Set Teacher","")&amp;IF('Visit Log'!BJ293="Yes",", Sound","")&amp;IF('Visit Log'!BK293="Yes",", SPFX","")&amp;IF('Visit Log'!BL293="Yes",", Video",""))="","",MID(IF('Visit Log'!AV293="Yes",", Art","")&amp;IF('Visit Log'!AW293="Yes",", Construction","")&amp;IF('Visit Log'!AX293="Yes",", Costumes","")&amp;IF('Visit Log'!AY293="Yes",", Craft Service","")&amp;IF('Visit Log'!AZ293="Yes",", Electrical","")&amp;IF('Visit Log'!BA293="Yes",", Greens","")&amp;IF('Visit Log'!BB293="Yes",", Grip","")&amp;IF('Visit Log'!BC293="Yes",", Locations","")&amp;IF('Visit Log'!BD293="Yes",", Medic","")&amp;IF('Visit Log'!BE293="Yes",", Paint","")&amp;IF('Visit Log'!BF293="Yes",", Plaster","")&amp;IF('Visit Log'!BG293="Yes",", Props","")&amp;IF('Visit Log'!BH293="Yes",", Set Dec","")&amp;IF('Visit Log'!BI293="Yes",", Set Teacher","")&amp;IF('Visit Log'!BJ293="Yes",", Sound","")&amp;IF('Visit Log'!BK293="Yes",", SPFX","")&amp;IF('Visit Log'!BL293="Yes",", Video",""),3,300)))</f>
        <v/>
      </c>
      <c r="F293" s="32">
        <f>IF('Visit Log'!C293="","",'Visit Log'!T293)</f>
        <v/>
      </c>
    </row>
    <row r="294">
      <c r="A294" s="28">
        <f>IF('Visit Log'!C294="","",'Visit Log'!A294)</f>
        <v/>
      </c>
      <c r="B294" s="28">
        <f>IF('Visit Log'!C294="","",'Visit Log'!C294)</f>
        <v/>
      </c>
      <c r="C294" s="28">
        <f>IF('Visit Log'!C294="","",'Visit Log'!D294)</f>
        <v/>
      </c>
      <c r="D294" s="29">
        <f>IF('Visit Log'!C294="","",'Visit Log'!B294)</f>
        <v/>
      </c>
      <c r="E294" s="28">
        <f>IF('Visit Log'!C294="","",IF((IF('Visit Log'!AV294="Yes",", Art","")&amp;IF('Visit Log'!AW294="Yes",", Construction","")&amp;IF('Visit Log'!AX294="Yes",", Costumes","")&amp;IF('Visit Log'!AY294="Yes",", Craft Service","")&amp;IF('Visit Log'!AZ294="Yes",", Electrical","")&amp;IF('Visit Log'!BA294="Yes",", Greens","")&amp;IF('Visit Log'!BB294="Yes",", Grip","")&amp;IF('Visit Log'!BC294="Yes",", Locations","")&amp;IF('Visit Log'!BD294="Yes",", Medic","")&amp;IF('Visit Log'!BE294="Yes",", Paint","")&amp;IF('Visit Log'!BF294="Yes",", Plaster","")&amp;IF('Visit Log'!BG294="Yes",", Props","")&amp;IF('Visit Log'!BH294="Yes",", Set Dec","")&amp;IF('Visit Log'!BI294="Yes",", Set Teacher","")&amp;IF('Visit Log'!BJ294="Yes",", Sound","")&amp;IF('Visit Log'!BK294="Yes",", SPFX","")&amp;IF('Visit Log'!BL294="Yes",", Video",""))="","",MID(IF('Visit Log'!AV294="Yes",", Art","")&amp;IF('Visit Log'!AW294="Yes",", Construction","")&amp;IF('Visit Log'!AX294="Yes",", Costumes","")&amp;IF('Visit Log'!AY294="Yes",", Craft Service","")&amp;IF('Visit Log'!AZ294="Yes",", Electrical","")&amp;IF('Visit Log'!BA294="Yes",", Greens","")&amp;IF('Visit Log'!BB294="Yes",", Grip","")&amp;IF('Visit Log'!BC294="Yes",", Locations","")&amp;IF('Visit Log'!BD294="Yes",", Medic","")&amp;IF('Visit Log'!BE294="Yes",", Paint","")&amp;IF('Visit Log'!BF294="Yes",", Plaster","")&amp;IF('Visit Log'!BG294="Yes",", Props","")&amp;IF('Visit Log'!BH294="Yes",", Set Dec","")&amp;IF('Visit Log'!BI294="Yes",", Set Teacher","")&amp;IF('Visit Log'!BJ294="Yes",", Sound","")&amp;IF('Visit Log'!BK294="Yes",", SPFX","")&amp;IF('Visit Log'!BL294="Yes",", Video",""),3,300)))</f>
        <v/>
      </c>
      <c r="F294" s="28">
        <f>IF('Visit Log'!C294="","",'Visit Log'!T294)</f>
        <v/>
      </c>
    </row>
    <row r="295">
      <c r="A295" s="32">
        <f>IF('Visit Log'!C295="","",'Visit Log'!A295)</f>
        <v/>
      </c>
      <c r="B295" s="32">
        <f>IF('Visit Log'!C295="","",'Visit Log'!C295)</f>
        <v/>
      </c>
      <c r="C295" s="32">
        <f>IF('Visit Log'!C295="","",'Visit Log'!D295)</f>
        <v/>
      </c>
      <c r="D295" s="33">
        <f>IF('Visit Log'!C295="","",'Visit Log'!B295)</f>
        <v/>
      </c>
      <c r="E295" s="32">
        <f>IF('Visit Log'!C295="","",IF((IF('Visit Log'!AV295="Yes",", Art","")&amp;IF('Visit Log'!AW295="Yes",", Construction","")&amp;IF('Visit Log'!AX295="Yes",", Costumes","")&amp;IF('Visit Log'!AY295="Yes",", Craft Service","")&amp;IF('Visit Log'!AZ295="Yes",", Electrical","")&amp;IF('Visit Log'!BA295="Yes",", Greens","")&amp;IF('Visit Log'!BB295="Yes",", Grip","")&amp;IF('Visit Log'!BC295="Yes",", Locations","")&amp;IF('Visit Log'!BD295="Yes",", Medic","")&amp;IF('Visit Log'!BE295="Yes",", Paint","")&amp;IF('Visit Log'!BF295="Yes",", Plaster","")&amp;IF('Visit Log'!BG295="Yes",", Props","")&amp;IF('Visit Log'!BH295="Yes",", Set Dec","")&amp;IF('Visit Log'!BI295="Yes",", Set Teacher","")&amp;IF('Visit Log'!BJ295="Yes",", Sound","")&amp;IF('Visit Log'!BK295="Yes",", SPFX","")&amp;IF('Visit Log'!BL295="Yes",", Video",""))="","",MID(IF('Visit Log'!AV295="Yes",", Art","")&amp;IF('Visit Log'!AW295="Yes",", Construction","")&amp;IF('Visit Log'!AX295="Yes",", Costumes","")&amp;IF('Visit Log'!AY295="Yes",", Craft Service","")&amp;IF('Visit Log'!AZ295="Yes",", Electrical","")&amp;IF('Visit Log'!BA295="Yes",", Greens","")&amp;IF('Visit Log'!BB295="Yes",", Grip","")&amp;IF('Visit Log'!BC295="Yes",", Locations","")&amp;IF('Visit Log'!BD295="Yes",", Medic","")&amp;IF('Visit Log'!BE295="Yes",", Paint","")&amp;IF('Visit Log'!BF295="Yes",", Plaster","")&amp;IF('Visit Log'!BG295="Yes",", Props","")&amp;IF('Visit Log'!BH295="Yes",", Set Dec","")&amp;IF('Visit Log'!BI295="Yes",", Set Teacher","")&amp;IF('Visit Log'!BJ295="Yes",", Sound","")&amp;IF('Visit Log'!BK295="Yes",", SPFX","")&amp;IF('Visit Log'!BL295="Yes",", Video",""),3,300)))</f>
        <v/>
      </c>
      <c r="F295" s="32">
        <f>IF('Visit Log'!C295="","",'Visit Log'!T295)</f>
        <v/>
      </c>
    </row>
    <row r="296">
      <c r="A296" s="28">
        <f>IF('Visit Log'!C296="","",'Visit Log'!A296)</f>
        <v/>
      </c>
      <c r="B296" s="28">
        <f>IF('Visit Log'!C296="","",'Visit Log'!C296)</f>
        <v/>
      </c>
      <c r="C296" s="28">
        <f>IF('Visit Log'!C296="","",'Visit Log'!D296)</f>
        <v/>
      </c>
      <c r="D296" s="29">
        <f>IF('Visit Log'!C296="","",'Visit Log'!B296)</f>
        <v/>
      </c>
      <c r="E296" s="28">
        <f>IF('Visit Log'!C296="","",IF((IF('Visit Log'!AV296="Yes",", Art","")&amp;IF('Visit Log'!AW296="Yes",", Construction","")&amp;IF('Visit Log'!AX296="Yes",", Costumes","")&amp;IF('Visit Log'!AY296="Yes",", Craft Service","")&amp;IF('Visit Log'!AZ296="Yes",", Electrical","")&amp;IF('Visit Log'!BA296="Yes",", Greens","")&amp;IF('Visit Log'!BB296="Yes",", Grip","")&amp;IF('Visit Log'!BC296="Yes",", Locations","")&amp;IF('Visit Log'!BD296="Yes",", Medic","")&amp;IF('Visit Log'!BE296="Yes",", Paint","")&amp;IF('Visit Log'!BF296="Yes",", Plaster","")&amp;IF('Visit Log'!BG296="Yes",", Props","")&amp;IF('Visit Log'!BH296="Yes",", Set Dec","")&amp;IF('Visit Log'!BI296="Yes",", Set Teacher","")&amp;IF('Visit Log'!BJ296="Yes",", Sound","")&amp;IF('Visit Log'!BK296="Yes",", SPFX","")&amp;IF('Visit Log'!BL296="Yes",", Video",""))="","",MID(IF('Visit Log'!AV296="Yes",", Art","")&amp;IF('Visit Log'!AW296="Yes",", Construction","")&amp;IF('Visit Log'!AX296="Yes",", Costumes","")&amp;IF('Visit Log'!AY296="Yes",", Craft Service","")&amp;IF('Visit Log'!AZ296="Yes",", Electrical","")&amp;IF('Visit Log'!BA296="Yes",", Greens","")&amp;IF('Visit Log'!BB296="Yes",", Grip","")&amp;IF('Visit Log'!BC296="Yes",", Locations","")&amp;IF('Visit Log'!BD296="Yes",", Medic","")&amp;IF('Visit Log'!BE296="Yes",", Paint","")&amp;IF('Visit Log'!BF296="Yes",", Plaster","")&amp;IF('Visit Log'!BG296="Yes",", Props","")&amp;IF('Visit Log'!BH296="Yes",", Set Dec","")&amp;IF('Visit Log'!BI296="Yes",", Set Teacher","")&amp;IF('Visit Log'!BJ296="Yes",", Sound","")&amp;IF('Visit Log'!BK296="Yes",", SPFX","")&amp;IF('Visit Log'!BL296="Yes",", Video",""),3,300)))</f>
        <v/>
      </c>
      <c r="F296" s="28">
        <f>IF('Visit Log'!C296="","",'Visit Log'!T296)</f>
        <v/>
      </c>
    </row>
    <row r="297">
      <c r="A297" s="32">
        <f>IF('Visit Log'!C297="","",'Visit Log'!A297)</f>
        <v/>
      </c>
      <c r="B297" s="32">
        <f>IF('Visit Log'!C297="","",'Visit Log'!C297)</f>
        <v/>
      </c>
      <c r="C297" s="32">
        <f>IF('Visit Log'!C297="","",'Visit Log'!D297)</f>
        <v/>
      </c>
      <c r="D297" s="33">
        <f>IF('Visit Log'!C297="","",'Visit Log'!B297)</f>
        <v/>
      </c>
      <c r="E297" s="32">
        <f>IF('Visit Log'!C297="","",IF((IF('Visit Log'!AV297="Yes",", Art","")&amp;IF('Visit Log'!AW297="Yes",", Construction","")&amp;IF('Visit Log'!AX297="Yes",", Costumes","")&amp;IF('Visit Log'!AY297="Yes",", Craft Service","")&amp;IF('Visit Log'!AZ297="Yes",", Electrical","")&amp;IF('Visit Log'!BA297="Yes",", Greens","")&amp;IF('Visit Log'!BB297="Yes",", Grip","")&amp;IF('Visit Log'!BC297="Yes",", Locations","")&amp;IF('Visit Log'!BD297="Yes",", Medic","")&amp;IF('Visit Log'!BE297="Yes",", Paint","")&amp;IF('Visit Log'!BF297="Yes",", Plaster","")&amp;IF('Visit Log'!BG297="Yes",", Props","")&amp;IF('Visit Log'!BH297="Yes",", Set Dec","")&amp;IF('Visit Log'!BI297="Yes",", Set Teacher","")&amp;IF('Visit Log'!BJ297="Yes",", Sound","")&amp;IF('Visit Log'!BK297="Yes",", SPFX","")&amp;IF('Visit Log'!BL297="Yes",", Video",""))="","",MID(IF('Visit Log'!AV297="Yes",", Art","")&amp;IF('Visit Log'!AW297="Yes",", Construction","")&amp;IF('Visit Log'!AX297="Yes",", Costumes","")&amp;IF('Visit Log'!AY297="Yes",", Craft Service","")&amp;IF('Visit Log'!AZ297="Yes",", Electrical","")&amp;IF('Visit Log'!BA297="Yes",", Greens","")&amp;IF('Visit Log'!BB297="Yes",", Grip","")&amp;IF('Visit Log'!BC297="Yes",", Locations","")&amp;IF('Visit Log'!BD297="Yes",", Medic","")&amp;IF('Visit Log'!BE297="Yes",", Paint","")&amp;IF('Visit Log'!BF297="Yes",", Plaster","")&amp;IF('Visit Log'!BG297="Yes",", Props","")&amp;IF('Visit Log'!BH297="Yes",", Set Dec","")&amp;IF('Visit Log'!BI297="Yes",", Set Teacher","")&amp;IF('Visit Log'!BJ297="Yes",", Sound","")&amp;IF('Visit Log'!BK297="Yes",", SPFX","")&amp;IF('Visit Log'!BL297="Yes",", Video",""),3,300)))</f>
        <v/>
      </c>
      <c r="F297" s="32">
        <f>IF('Visit Log'!C297="","",'Visit Log'!T297)</f>
        <v/>
      </c>
    </row>
    <row r="298">
      <c r="A298" s="28">
        <f>IF('Visit Log'!C298="","",'Visit Log'!A298)</f>
        <v/>
      </c>
      <c r="B298" s="28">
        <f>IF('Visit Log'!C298="","",'Visit Log'!C298)</f>
        <v/>
      </c>
      <c r="C298" s="28">
        <f>IF('Visit Log'!C298="","",'Visit Log'!D298)</f>
        <v/>
      </c>
      <c r="D298" s="29">
        <f>IF('Visit Log'!C298="","",'Visit Log'!B298)</f>
        <v/>
      </c>
      <c r="E298" s="28">
        <f>IF('Visit Log'!C298="","",IF((IF('Visit Log'!AV298="Yes",", Art","")&amp;IF('Visit Log'!AW298="Yes",", Construction","")&amp;IF('Visit Log'!AX298="Yes",", Costumes","")&amp;IF('Visit Log'!AY298="Yes",", Craft Service","")&amp;IF('Visit Log'!AZ298="Yes",", Electrical","")&amp;IF('Visit Log'!BA298="Yes",", Greens","")&amp;IF('Visit Log'!BB298="Yes",", Grip","")&amp;IF('Visit Log'!BC298="Yes",", Locations","")&amp;IF('Visit Log'!BD298="Yes",", Medic","")&amp;IF('Visit Log'!BE298="Yes",", Paint","")&amp;IF('Visit Log'!BF298="Yes",", Plaster","")&amp;IF('Visit Log'!BG298="Yes",", Props","")&amp;IF('Visit Log'!BH298="Yes",", Set Dec","")&amp;IF('Visit Log'!BI298="Yes",", Set Teacher","")&amp;IF('Visit Log'!BJ298="Yes",", Sound","")&amp;IF('Visit Log'!BK298="Yes",", SPFX","")&amp;IF('Visit Log'!BL298="Yes",", Video",""))="","",MID(IF('Visit Log'!AV298="Yes",", Art","")&amp;IF('Visit Log'!AW298="Yes",", Construction","")&amp;IF('Visit Log'!AX298="Yes",", Costumes","")&amp;IF('Visit Log'!AY298="Yes",", Craft Service","")&amp;IF('Visit Log'!AZ298="Yes",", Electrical","")&amp;IF('Visit Log'!BA298="Yes",", Greens","")&amp;IF('Visit Log'!BB298="Yes",", Grip","")&amp;IF('Visit Log'!BC298="Yes",", Locations","")&amp;IF('Visit Log'!BD298="Yes",", Medic","")&amp;IF('Visit Log'!BE298="Yes",", Paint","")&amp;IF('Visit Log'!BF298="Yes",", Plaster","")&amp;IF('Visit Log'!BG298="Yes",", Props","")&amp;IF('Visit Log'!BH298="Yes",", Set Dec","")&amp;IF('Visit Log'!BI298="Yes",", Set Teacher","")&amp;IF('Visit Log'!BJ298="Yes",", Sound","")&amp;IF('Visit Log'!BK298="Yes",", SPFX","")&amp;IF('Visit Log'!BL298="Yes",", Video",""),3,300)))</f>
        <v/>
      </c>
      <c r="F298" s="28">
        <f>IF('Visit Log'!C298="","",'Visit Log'!T298)</f>
        <v/>
      </c>
    </row>
    <row r="299">
      <c r="A299" s="32">
        <f>IF('Visit Log'!C299="","",'Visit Log'!A299)</f>
        <v/>
      </c>
      <c r="B299" s="32">
        <f>IF('Visit Log'!C299="","",'Visit Log'!C299)</f>
        <v/>
      </c>
      <c r="C299" s="32">
        <f>IF('Visit Log'!C299="","",'Visit Log'!D299)</f>
        <v/>
      </c>
      <c r="D299" s="33">
        <f>IF('Visit Log'!C299="","",'Visit Log'!B299)</f>
        <v/>
      </c>
      <c r="E299" s="32">
        <f>IF('Visit Log'!C299="","",IF((IF('Visit Log'!AV299="Yes",", Art","")&amp;IF('Visit Log'!AW299="Yes",", Construction","")&amp;IF('Visit Log'!AX299="Yes",", Costumes","")&amp;IF('Visit Log'!AY299="Yes",", Craft Service","")&amp;IF('Visit Log'!AZ299="Yes",", Electrical","")&amp;IF('Visit Log'!BA299="Yes",", Greens","")&amp;IF('Visit Log'!BB299="Yes",", Grip","")&amp;IF('Visit Log'!BC299="Yes",", Locations","")&amp;IF('Visit Log'!BD299="Yes",", Medic","")&amp;IF('Visit Log'!BE299="Yes",", Paint","")&amp;IF('Visit Log'!BF299="Yes",", Plaster","")&amp;IF('Visit Log'!BG299="Yes",", Props","")&amp;IF('Visit Log'!BH299="Yes",", Set Dec","")&amp;IF('Visit Log'!BI299="Yes",", Set Teacher","")&amp;IF('Visit Log'!BJ299="Yes",", Sound","")&amp;IF('Visit Log'!BK299="Yes",", SPFX","")&amp;IF('Visit Log'!BL299="Yes",", Video",""))="","",MID(IF('Visit Log'!AV299="Yes",", Art","")&amp;IF('Visit Log'!AW299="Yes",", Construction","")&amp;IF('Visit Log'!AX299="Yes",", Costumes","")&amp;IF('Visit Log'!AY299="Yes",", Craft Service","")&amp;IF('Visit Log'!AZ299="Yes",", Electrical","")&amp;IF('Visit Log'!BA299="Yes",", Greens","")&amp;IF('Visit Log'!BB299="Yes",", Grip","")&amp;IF('Visit Log'!BC299="Yes",", Locations","")&amp;IF('Visit Log'!BD299="Yes",", Medic","")&amp;IF('Visit Log'!BE299="Yes",", Paint","")&amp;IF('Visit Log'!BF299="Yes",", Plaster","")&amp;IF('Visit Log'!BG299="Yes",", Props","")&amp;IF('Visit Log'!BH299="Yes",", Set Dec","")&amp;IF('Visit Log'!BI299="Yes",", Set Teacher","")&amp;IF('Visit Log'!BJ299="Yes",", Sound","")&amp;IF('Visit Log'!BK299="Yes",", SPFX","")&amp;IF('Visit Log'!BL299="Yes",", Video",""),3,300)))</f>
        <v/>
      </c>
      <c r="F299" s="32">
        <f>IF('Visit Log'!C299="","",'Visit Log'!T299)</f>
        <v/>
      </c>
    </row>
    <row r="300">
      <c r="A300" s="28">
        <f>IF('Visit Log'!C300="","",'Visit Log'!A300)</f>
        <v/>
      </c>
      <c r="B300" s="28">
        <f>IF('Visit Log'!C300="","",'Visit Log'!C300)</f>
        <v/>
      </c>
      <c r="C300" s="28">
        <f>IF('Visit Log'!C300="","",'Visit Log'!D300)</f>
        <v/>
      </c>
      <c r="D300" s="29">
        <f>IF('Visit Log'!C300="","",'Visit Log'!B300)</f>
        <v/>
      </c>
      <c r="E300" s="28">
        <f>IF('Visit Log'!C300="","",IF((IF('Visit Log'!AV300="Yes",", Art","")&amp;IF('Visit Log'!AW300="Yes",", Construction","")&amp;IF('Visit Log'!AX300="Yes",", Costumes","")&amp;IF('Visit Log'!AY300="Yes",", Craft Service","")&amp;IF('Visit Log'!AZ300="Yes",", Electrical","")&amp;IF('Visit Log'!BA300="Yes",", Greens","")&amp;IF('Visit Log'!BB300="Yes",", Grip","")&amp;IF('Visit Log'!BC300="Yes",", Locations","")&amp;IF('Visit Log'!BD300="Yes",", Medic","")&amp;IF('Visit Log'!BE300="Yes",", Paint","")&amp;IF('Visit Log'!BF300="Yes",", Plaster","")&amp;IF('Visit Log'!BG300="Yes",", Props","")&amp;IF('Visit Log'!BH300="Yes",", Set Dec","")&amp;IF('Visit Log'!BI300="Yes",", Set Teacher","")&amp;IF('Visit Log'!BJ300="Yes",", Sound","")&amp;IF('Visit Log'!BK300="Yes",", SPFX","")&amp;IF('Visit Log'!BL300="Yes",", Video",""))="","",MID(IF('Visit Log'!AV300="Yes",", Art","")&amp;IF('Visit Log'!AW300="Yes",", Construction","")&amp;IF('Visit Log'!AX300="Yes",", Costumes","")&amp;IF('Visit Log'!AY300="Yes",", Craft Service","")&amp;IF('Visit Log'!AZ300="Yes",", Electrical","")&amp;IF('Visit Log'!BA300="Yes",", Greens","")&amp;IF('Visit Log'!BB300="Yes",", Grip","")&amp;IF('Visit Log'!BC300="Yes",", Locations","")&amp;IF('Visit Log'!BD300="Yes",", Medic","")&amp;IF('Visit Log'!BE300="Yes",", Paint","")&amp;IF('Visit Log'!BF300="Yes",", Plaster","")&amp;IF('Visit Log'!BG300="Yes",", Props","")&amp;IF('Visit Log'!BH300="Yes",", Set Dec","")&amp;IF('Visit Log'!BI300="Yes",", Set Teacher","")&amp;IF('Visit Log'!BJ300="Yes",", Sound","")&amp;IF('Visit Log'!BK300="Yes",", SPFX","")&amp;IF('Visit Log'!BL300="Yes",", Video",""),3,300)))</f>
        <v/>
      </c>
      <c r="F300" s="28">
        <f>IF('Visit Log'!C300="","",'Visit Log'!T300)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E300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26" customWidth="1" min="3" max="3"/>
    <col width="24" customWidth="1" min="4" max="4"/>
    <col width="20" customWidth="1" min="5" max="5"/>
    <col width="13" customWidth="1" min="6" max="6"/>
    <col width="15" customWidth="1" min="7" max="7"/>
    <col width="15" customWidth="1" min="8" max="8"/>
    <col width="12" customWidth="1" min="9" max="9"/>
    <col width="12" customWidth="1" min="10" max="10"/>
    <col width="22" customWidth="1" min="11" max="11"/>
    <col width="12" customWidth="1" min="12" max="12"/>
    <col width="11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30" customWidth="1" min="19" max="19"/>
    <col width="3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20" customWidth="1" min="29" max="29"/>
    <col width="15" customWidth="1" min="30" max="30"/>
    <col width="14" customWidth="1" min="31" max="31"/>
    <col width="20" customWidth="1" min="32" max="32"/>
    <col width="15" customWidth="1" min="33" max="33"/>
    <col width="14" customWidth="1" min="34" max="34"/>
    <col width="20" customWidth="1" min="35" max="35"/>
    <col width="10" customWidth="1" min="36" max="36"/>
    <col width="24" customWidth="1" min="37" max="37"/>
    <col width="20" customWidth="1" min="38" max="38"/>
    <col width="10" customWidth="1" min="39" max="39"/>
    <col width="24" customWidth="1" min="40" max="40"/>
    <col width="20" customWidth="1" min="41" max="41"/>
    <col width="10" customWidth="1" min="42" max="42"/>
    <col width="24" customWidth="1" min="43" max="43"/>
    <col width="20" customWidth="1" min="44" max="44"/>
    <col width="10" customWidth="1" min="45" max="45"/>
    <col width="24" customWidth="1" min="46" max="46"/>
    <col width="28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20" customWidth="1" min="65" max="65"/>
    <col width="14" customWidth="1" min="66" max="66"/>
    <col width="20" customWidth="1" min="67" max="67"/>
    <col width="14" customWidth="1" min="68" max="68"/>
    <col width="20" customWidth="1" min="69" max="69"/>
    <col width="14" customWidth="1" min="70" max="70"/>
    <col width="20" customWidth="1" min="71" max="71"/>
    <col width="14" customWidth="1" min="72" max="72"/>
    <col width="20" customWidth="1" min="73" max="73"/>
    <col width="14" customWidth="1" min="74" max="74"/>
    <col width="20" customWidth="1" min="75" max="75"/>
    <col width="14" customWidth="1" min="76" max="76"/>
    <col width="20" customWidth="1" min="77" max="77"/>
    <col width="14" customWidth="1" min="78" max="78"/>
    <col width="20" customWidth="1" min="79" max="79"/>
    <col width="14" customWidth="1" min="80" max="80"/>
    <col width="28" customWidth="1" min="81" max="81"/>
    <col width="20" customWidth="1" min="82" max="82"/>
    <col width="14" customWidth="1" min="83" max="83"/>
    <col width="12" customWidth="1" min="84" max="84"/>
    <col width="20" customWidth="1" min="85" max="85"/>
    <col width="14" customWidth="1" min="86" max="86"/>
    <col width="12" customWidth="1" min="87" max="87"/>
    <col width="20" customWidth="1" min="88" max="88"/>
    <col width="14" customWidth="1" min="89" max="89"/>
    <col width="12" customWidth="1" min="90" max="90"/>
    <col width="20" customWidth="1" min="91" max="91"/>
    <col width="14" customWidth="1" min="92" max="92"/>
    <col width="12" customWidth="1" min="93" max="93"/>
    <col width="20" customWidth="1" min="94" max="94"/>
    <col width="14" customWidth="1" min="95" max="95"/>
    <col width="12" customWidth="1" min="96" max="96"/>
    <col width="20" customWidth="1" min="97" max="97"/>
    <col width="20" customWidth="1" min="98" max="98"/>
    <col width="20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30" customWidth="1" min="105" max="105"/>
    <col width="12" customWidth="1" min="106" max="106"/>
    <col width="12" customWidth="1" min="107" max="107"/>
    <col width="13" customWidth="1" min="108" max="108"/>
    <col width="14" customWidth="1" min="109" max="109"/>
  </cols>
  <sheetData>
    <row r="1" ht="42" customHeight="1">
      <c r="A1" s="34" t="inlineStr">
        <is>
          <t>Visit ID</t>
        </is>
      </c>
      <c r="B1" s="34" t="inlineStr">
        <is>
          <t>Date of Visit</t>
        </is>
      </c>
      <c r="C1" s="34" t="inlineStr">
        <is>
          <t>Production Title</t>
        </is>
      </c>
      <c r="D1" s="34" t="inlineStr">
        <is>
          <t>Location Visited</t>
        </is>
      </c>
      <c r="E1" s="34" t="inlineStr">
        <is>
          <t>Field Representative</t>
        </is>
      </c>
      <c r="F1" s="35" t="inlineStr">
        <is>
          <t>L479 No.</t>
        </is>
      </c>
      <c r="G1" s="35" t="inlineStr">
        <is>
          <t>Date Production Notified</t>
        </is>
      </c>
      <c r="H1" s="35" t="inlineStr">
        <is>
          <t>Production Phase</t>
        </is>
      </c>
      <c r="I1" s="35" t="inlineStr">
        <is>
          <t>Arrival Time</t>
        </is>
      </c>
      <c r="J1" s="35" t="inlineStr">
        <is>
          <t>Departure Time</t>
        </is>
      </c>
      <c r="K1" s="35" t="inlineStr">
        <is>
          <t>Reason for Visit</t>
        </is>
      </c>
      <c r="L1" s="35" t="inlineStr">
        <is>
          <t>Crew Call</t>
        </is>
      </c>
      <c r="M1" s="35" t="inlineStr">
        <is>
          <t>Crew Day</t>
        </is>
      </c>
      <c r="N1" s="35" t="inlineStr">
        <is>
          <t>Area: Stage</t>
        </is>
      </c>
      <c r="O1" s="35" t="inlineStr">
        <is>
          <t>Area: Location</t>
        </is>
      </c>
      <c r="P1" s="35" t="inlineStr">
        <is>
          <t>Area: Mill</t>
        </is>
      </c>
      <c r="Q1" s="35" t="inlineStr">
        <is>
          <t>Area: Lockup</t>
        </is>
      </c>
      <c r="R1" s="35" t="inlineStr">
        <is>
          <t>Area: Other</t>
        </is>
      </c>
      <c r="S1" s="35" t="inlineStr">
        <is>
          <t>Visit Notes</t>
        </is>
      </c>
      <c r="T1" s="35" t="inlineStr">
        <is>
          <t>Proof of Visit</t>
        </is>
      </c>
      <c r="U1" s="35" t="inlineStr">
        <is>
          <t>Wx: Sunny</t>
        </is>
      </c>
      <c r="V1" s="35" t="inlineStr">
        <is>
          <t>Wx: Cloudy</t>
        </is>
      </c>
      <c r="W1" s="35" t="inlineStr">
        <is>
          <t>Wx: Rain</t>
        </is>
      </c>
      <c r="X1" s="35" t="inlineStr">
        <is>
          <t>Wx: Snow</t>
        </is>
      </c>
      <c r="Y1" s="35" t="inlineStr">
        <is>
          <t>Wx: Lightning</t>
        </is>
      </c>
      <c r="Z1" s="35" t="inlineStr">
        <is>
          <t>Wx: Winds</t>
        </is>
      </c>
      <c r="AA1" s="35" t="inlineStr">
        <is>
          <t>Wx: Extreme Cold</t>
        </is>
      </c>
      <c r="AB1" s="35" t="inlineStr">
        <is>
          <t>Wx: Extreme Heat</t>
        </is>
      </c>
      <c r="AC1" s="36" t="inlineStr">
        <is>
          <t>Steward 1 Name</t>
        </is>
      </c>
      <c r="AD1" s="36" t="inlineStr">
        <is>
          <t>Steward 1 Status</t>
        </is>
      </c>
      <c r="AE1" s="36" t="inlineStr">
        <is>
          <t>Steward 1 Start Date</t>
        </is>
      </c>
      <c r="AF1" s="36" t="inlineStr">
        <is>
          <t>Steward 2 Name</t>
        </is>
      </c>
      <c r="AG1" s="36" t="inlineStr">
        <is>
          <t>Steward 2 Status</t>
        </is>
      </c>
      <c r="AH1" s="36" t="inlineStr">
        <is>
          <t>Steward 2 Start Date</t>
        </is>
      </c>
      <c r="AI1" s="36" t="inlineStr">
        <is>
          <t>Union Crew 1 Name</t>
        </is>
      </c>
      <c r="AJ1" s="36" t="inlineStr">
        <is>
          <t>Union Crew 1 Role</t>
        </is>
      </c>
      <c r="AK1" s="36" t="inlineStr">
        <is>
          <t>Union Crew 1 Notes/Issues</t>
        </is>
      </c>
      <c r="AL1" s="36" t="inlineStr">
        <is>
          <t>Union Crew 2 Name</t>
        </is>
      </c>
      <c r="AM1" s="36" t="inlineStr">
        <is>
          <t>Union Crew 2 Role</t>
        </is>
      </c>
      <c r="AN1" s="36" t="inlineStr">
        <is>
          <t>Union Crew 2 Notes/Issues</t>
        </is>
      </c>
      <c r="AO1" s="36" t="inlineStr">
        <is>
          <t>Union Crew 3 Name</t>
        </is>
      </c>
      <c r="AP1" s="36" t="inlineStr">
        <is>
          <t>Union Crew 3 Role</t>
        </is>
      </c>
      <c r="AQ1" s="36" t="inlineStr">
        <is>
          <t>Union Crew 3 Notes/Issues</t>
        </is>
      </c>
      <c r="AR1" s="36" t="inlineStr">
        <is>
          <t>Union Crew 4 Name</t>
        </is>
      </c>
      <c r="AS1" s="36" t="inlineStr">
        <is>
          <t>Union Crew 4 Role</t>
        </is>
      </c>
      <c r="AT1" s="36" t="inlineStr">
        <is>
          <t>Union Crew 4 Notes/Issues</t>
        </is>
      </c>
      <c r="AU1" s="36" t="inlineStr">
        <is>
          <t>Section 2 Notes</t>
        </is>
      </c>
      <c r="AV1" s="36" t="inlineStr">
        <is>
          <t>Dept: Art</t>
        </is>
      </c>
      <c r="AW1" s="36" t="inlineStr">
        <is>
          <t>Dept: Construction</t>
        </is>
      </c>
      <c r="AX1" s="36" t="inlineStr">
        <is>
          <t>Dept: Costumes</t>
        </is>
      </c>
      <c r="AY1" s="36" t="inlineStr">
        <is>
          <t>Dept: Craft Service</t>
        </is>
      </c>
      <c r="AZ1" s="36" t="inlineStr">
        <is>
          <t>Dept: Electrical</t>
        </is>
      </c>
      <c r="BA1" s="36" t="inlineStr">
        <is>
          <t>Dept: Greens</t>
        </is>
      </c>
      <c r="BB1" s="36" t="inlineStr">
        <is>
          <t>Dept: Grip</t>
        </is>
      </c>
      <c r="BC1" s="36" t="inlineStr">
        <is>
          <t>Dept: Locations</t>
        </is>
      </c>
      <c r="BD1" s="36" t="inlineStr">
        <is>
          <t>Dept: Medic</t>
        </is>
      </c>
      <c r="BE1" s="36" t="inlineStr">
        <is>
          <t>Dept: Paint</t>
        </is>
      </c>
      <c r="BF1" s="36" t="inlineStr">
        <is>
          <t>Dept: Plaster</t>
        </is>
      </c>
      <c r="BG1" s="36" t="inlineStr">
        <is>
          <t>Dept: Props</t>
        </is>
      </c>
      <c r="BH1" s="36" t="inlineStr">
        <is>
          <t>Dept: Set Dec</t>
        </is>
      </c>
      <c r="BI1" s="36" t="inlineStr">
        <is>
          <t>Dept: Set Teacher</t>
        </is>
      </c>
      <c r="BJ1" s="36" t="inlineStr">
        <is>
          <t>Dept: Sound</t>
        </is>
      </c>
      <c r="BK1" s="36" t="inlineStr">
        <is>
          <t>Dept: SPFX</t>
        </is>
      </c>
      <c r="BL1" s="36" t="inlineStr">
        <is>
          <t>Dept: Video</t>
        </is>
      </c>
      <c r="BM1" s="37" t="inlineStr">
        <is>
          <t>Non-Union 1 Name</t>
        </is>
      </c>
      <c r="BN1" s="37" t="inlineStr">
        <is>
          <t>Non-Union 1 Dept</t>
        </is>
      </c>
      <c r="BO1" s="37" t="inlineStr">
        <is>
          <t>Non-Union 2 Name</t>
        </is>
      </c>
      <c r="BP1" s="37" t="inlineStr">
        <is>
          <t>Non-Union 2 Dept</t>
        </is>
      </c>
      <c r="BQ1" s="37" t="inlineStr">
        <is>
          <t>Non-Union 3 Name</t>
        </is>
      </c>
      <c r="BR1" s="37" t="inlineStr">
        <is>
          <t>Non-Union 3 Dept</t>
        </is>
      </c>
      <c r="BS1" s="37" t="inlineStr">
        <is>
          <t>Non-Union 4 Name</t>
        </is>
      </c>
      <c r="BT1" s="37" t="inlineStr">
        <is>
          <t>Non-Union 4 Dept</t>
        </is>
      </c>
      <c r="BU1" s="37" t="inlineStr">
        <is>
          <t>Non-Union 5 Name</t>
        </is>
      </c>
      <c r="BV1" s="37" t="inlineStr">
        <is>
          <t>Non-Union 5 Dept</t>
        </is>
      </c>
      <c r="BW1" s="37" t="inlineStr">
        <is>
          <t>Non-Union 6 Name</t>
        </is>
      </c>
      <c r="BX1" s="37" t="inlineStr">
        <is>
          <t>Non-Union 6 Dept</t>
        </is>
      </c>
      <c r="BY1" s="37" t="inlineStr">
        <is>
          <t>Non-Union 7 Name</t>
        </is>
      </c>
      <c r="BZ1" s="37" t="inlineStr">
        <is>
          <t>Non-Union 7 Dept</t>
        </is>
      </c>
      <c r="CA1" s="37" t="inlineStr">
        <is>
          <t>Non-Union 8 Name</t>
        </is>
      </c>
      <c r="CB1" s="37" t="inlineStr">
        <is>
          <t>Non-Union 8 Dept</t>
        </is>
      </c>
      <c r="CC1" s="37" t="inlineStr">
        <is>
          <t>Section 3 Notes</t>
        </is>
      </c>
      <c r="CD1" s="38" t="inlineStr">
        <is>
          <t>Apparel 1 Name</t>
        </is>
      </c>
      <c r="CE1" s="38" t="inlineStr">
        <is>
          <t>Apparel 1 Phone</t>
        </is>
      </c>
      <c r="CF1" s="38" t="inlineStr">
        <is>
          <t>Apparel 1 Size</t>
        </is>
      </c>
      <c r="CG1" s="38" t="inlineStr">
        <is>
          <t>Apparel 2 Name</t>
        </is>
      </c>
      <c r="CH1" s="38" t="inlineStr">
        <is>
          <t>Apparel 2 Phone</t>
        </is>
      </c>
      <c r="CI1" s="38" t="inlineStr">
        <is>
          <t>Apparel 2 Size</t>
        </is>
      </c>
      <c r="CJ1" s="38" t="inlineStr">
        <is>
          <t>Apparel 3 Name</t>
        </is>
      </c>
      <c r="CK1" s="38" t="inlineStr">
        <is>
          <t>Apparel 3 Phone</t>
        </is>
      </c>
      <c r="CL1" s="38" t="inlineStr">
        <is>
          <t>Apparel 3 Size</t>
        </is>
      </c>
      <c r="CM1" s="38" t="inlineStr">
        <is>
          <t>Apparel 4 Name</t>
        </is>
      </c>
      <c r="CN1" s="38" t="inlineStr">
        <is>
          <t>Apparel 4 Phone</t>
        </is>
      </c>
      <c r="CO1" s="38" t="inlineStr">
        <is>
          <t>Apparel 4 Size</t>
        </is>
      </c>
      <c r="CP1" s="38" t="inlineStr">
        <is>
          <t>Apparel 5 Name</t>
        </is>
      </c>
      <c r="CQ1" s="38" t="inlineStr">
        <is>
          <t>Apparel 5 Phone</t>
        </is>
      </c>
      <c r="CR1" s="38" t="inlineStr">
        <is>
          <t>Apparel 5 Size</t>
        </is>
      </c>
      <c r="CS1" s="39" t="inlineStr">
        <is>
          <t>UPM/Producer 1</t>
        </is>
      </c>
      <c r="CT1" s="39" t="inlineStr">
        <is>
          <t>UPM/Producer 2</t>
        </is>
      </c>
      <c r="CU1" s="39" t="inlineStr">
        <is>
          <t>Production Coordinator</t>
        </is>
      </c>
      <c r="CV1" s="39" t="inlineStr">
        <is>
          <t>Follow-up: IATSE Project Info Sheet</t>
        </is>
      </c>
      <c r="CW1" s="39" t="inlineStr">
        <is>
          <t>Follow-up: Current Crewlist</t>
        </is>
      </c>
      <c r="CX1" s="39" t="inlineStr">
        <is>
          <t>Follow-up: 479 Roster Provided</t>
        </is>
      </c>
      <c r="CY1" s="39" t="inlineStr">
        <is>
          <t>Follow-up: Availability List Provided</t>
        </is>
      </c>
      <c r="CZ1" s="39" t="inlineStr">
        <is>
          <t>Follow-up: Lunch Reporting Schedule</t>
        </is>
      </c>
      <c r="DA1" s="39" t="inlineStr">
        <is>
          <t>Section 5 Notes</t>
        </is>
      </c>
      <c r="DB1" s="40" t="inlineStr">
        <is>
          <t># Union Crew</t>
        </is>
      </c>
      <c r="DC1" s="40" t="inlineStr">
        <is>
          <t># Non-Union</t>
        </is>
      </c>
      <c r="DD1" s="40" t="inlineStr">
        <is>
          <t># Depts Visited</t>
        </is>
      </c>
      <c r="DE1" s="40" t="inlineStr">
        <is>
          <t># Follow-ups Done</t>
        </is>
      </c>
    </row>
    <row r="2">
      <c r="A2" s="41" t="inlineStr">
        <is>
          <t>2026-001</t>
        </is>
      </c>
      <c r="B2" s="42" t="inlineStr">
        <is>
          <t>2026-07-15</t>
        </is>
      </c>
      <c r="C2" s="41" t="inlineStr">
        <is>
          <t>Northern Lights (S2)</t>
        </is>
      </c>
      <c r="D2" s="41" t="inlineStr">
        <is>
          <t>Stage 4, Pinewood Studios</t>
        </is>
      </c>
      <c r="E2" s="41" t="inlineStr">
        <is>
          <t>J. Doe</t>
        </is>
      </c>
      <c r="F2" s="41" t="inlineStr">
        <is>
          <t>250415-001</t>
        </is>
      </c>
      <c r="G2" s="42" t="inlineStr">
        <is>
          <t>2026-07-10</t>
        </is>
      </c>
      <c r="H2" s="41" t="inlineStr">
        <is>
          <t>Shooting</t>
        </is>
      </c>
      <c r="I2" s="41" t="inlineStr">
        <is>
          <t>9:30 AM</t>
        </is>
      </c>
      <c r="J2" s="41" t="inlineStr">
        <is>
          <t>1:15 PM</t>
        </is>
      </c>
      <c r="K2" s="41" t="inlineStr">
        <is>
          <t>routine</t>
        </is>
      </c>
      <c r="L2" s="41" t="inlineStr">
        <is>
          <t>7:00 AM</t>
        </is>
      </c>
      <c r="M2" s="41" t="inlineStr">
        <is>
          <t>Day</t>
        </is>
      </c>
      <c r="N2" s="41" t="inlineStr">
        <is>
          <t>Yes</t>
        </is>
      </c>
      <c r="O2" s="41" t="inlineStr">
        <is>
          <t>Yes</t>
        </is>
      </c>
      <c r="P2" s="43" t="n"/>
      <c r="Q2" s="43" t="n"/>
      <c r="R2" s="43" t="n"/>
      <c r="S2" s="41" t="inlineStr">
        <is>
          <t>All quiet. Stage 4 base camp.</t>
        </is>
      </c>
      <c r="T2" s="41" t="inlineStr">
        <is>
          <t>Emailed production</t>
        </is>
      </c>
      <c r="U2" s="43" t="n"/>
      <c r="V2" s="41" t="inlineStr">
        <is>
          <t>Yes</t>
        </is>
      </c>
      <c r="W2" s="43" t="n"/>
      <c r="X2" s="43" t="n"/>
      <c r="Y2" s="43" t="n"/>
      <c r="Z2" s="41" t="inlineStr">
        <is>
          <t>Yes</t>
        </is>
      </c>
      <c r="AA2" s="43" t="n"/>
      <c r="AB2" s="43" t="n"/>
      <c r="AC2" s="41" t="inlineStr">
        <is>
          <t>A. Smith</t>
        </is>
      </c>
      <c r="AD2" s="41" t="inlineStr">
        <is>
          <t>On Production</t>
        </is>
      </c>
      <c r="AE2" s="42" t="inlineStr">
        <is>
          <t>2026-06-01</t>
        </is>
      </c>
      <c r="AF2" s="43" t="n"/>
      <c r="AG2" s="43" t="n"/>
      <c r="AH2" s="44" t="n"/>
      <c r="AI2" s="41" t="inlineStr">
        <is>
          <t>R. Lee</t>
        </is>
      </c>
      <c r="AJ2" s="41" t="inlineStr">
        <is>
          <t>Key</t>
        </is>
      </c>
      <c r="AK2" s="41" t="inlineStr">
        <is>
          <t>None</t>
        </is>
      </c>
      <c r="AL2" s="41" t="inlineStr">
        <is>
          <t>M. Ford</t>
        </is>
      </c>
      <c r="AM2" s="41" t="inlineStr">
        <is>
          <t>2nd</t>
        </is>
      </c>
      <c r="AN2" s="43" t="n"/>
      <c r="AO2" s="43" t="n"/>
      <c r="AP2" s="43" t="n"/>
      <c r="AQ2" s="43" t="n"/>
      <c r="AR2" s="43" t="n"/>
      <c r="AS2" s="43" t="n"/>
      <c r="AT2" s="43" t="n"/>
      <c r="AU2" s="43" t="n"/>
      <c r="AV2" s="43" t="n"/>
      <c r="AW2" s="43" t="n"/>
      <c r="AX2" s="43" t="n"/>
      <c r="AY2" s="43" t="n"/>
      <c r="AZ2" s="41" t="inlineStr">
        <is>
          <t>Yes</t>
        </is>
      </c>
      <c r="BA2" s="43" t="n"/>
      <c r="BB2" s="41" t="inlineStr">
        <is>
          <t>Yes</t>
        </is>
      </c>
      <c r="BC2" s="43" t="n"/>
      <c r="BD2" s="43" t="n"/>
      <c r="BE2" s="43" t="n"/>
      <c r="BF2" s="43" t="n"/>
      <c r="BG2" s="43" t="n"/>
      <c r="BH2" s="41" t="inlineStr">
        <is>
          <t>Yes</t>
        </is>
      </c>
      <c r="BI2" s="43" t="n"/>
      <c r="BJ2" s="43" t="n"/>
      <c r="BK2" s="43" t="n"/>
      <c r="BL2" s="43" t="n"/>
      <c r="BM2" s="41" t="inlineStr">
        <is>
          <t>T. Nguyen</t>
        </is>
      </c>
      <c r="BN2" s="41" t="inlineStr">
        <is>
          <t>Construction</t>
        </is>
      </c>
      <c r="BO2" s="43" t="n"/>
      <c r="BP2" s="43" t="n"/>
      <c r="BQ2" s="43" t="n"/>
      <c r="BR2" s="43" t="n"/>
      <c r="BS2" s="43" t="n"/>
      <c r="BT2" s="43" t="n"/>
      <c r="BU2" s="43" t="n"/>
      <c r="BV2" s="43" t="n"/>
      <c r="BW2" s="43" t="n"/>
      <c r="BX2" s="43" t="n"/>
      <c r="BY2" s="43" t="n"/>
      <c r="BZ2" s="43" t="n"/>
      <c r="CA2" s="43" t="n"/>
      <c r="CB2" s="43" t="n"/>
      <c r="CC2" s="43" t="n"/>
      <c r="CD2" s="41" t="inlineStr">
        <is>
          <t>R. Lee</t>
        </is>
      </c>
      <c r="CE2" s="41" t="inlineStr">
        <is>
          <t>555-0142</t>
        </is>
      </c>
      <c r="CF2" s="41" t="inlineStr">
        <is>
          <t>Large</t>
        </is>
      </c>
      <c r="CG2" s="43" t="n"/>
      <c r="CH2" s="43" t="n"/>
      <c r="CI2" s="43" t="n"/>
      <c r="CJ2" s="43" t="n"/>
      <c r="CK2" s="43" t="n"/>
      <c r="CL2" s="43" t="n"/>
      <c r="CM2" s="43" t="n"/>
      <c r="CN2" s="43" t="n"/>
      <c r="CO2" s="43" t="n"/>
      <c r="CP2" s="43" t="n"/>
      <c r="CQ2" s="43" t="n"/>
      <c r="CR2" s="43" t="n"/>
      <c r="CS2" s="41" t="inlineStr">
        <is>
          <t>C. Ramos</t>
        </is>
      </c>
      <c r="CT2" s="43" t="n"/>
      <c r="CU2" s="41" t="inlineStr">
        <is>
          <t>D. Park</t>
        </is>
      </c>
      <c r="CV2" s="43" t="n"/>
      <c r="CW2" s="41" t="inlineStr">
        <is>
          <t>Yes</t>
        </is>
      </c>
      <c r="CX2" s="41" t="inlineStr">
        <is>
          <t>Yes</t>
        </is>
      </c>
      <c r="CY2" s="43" t="n"/>
      <c r="CZ2" s="43" t="n"/>
      <c r="DA2" s="41" t="inlineStr">
        <is>
          <t>Requested updated crew list; provided 479 roster.</t>
        </is>
      </c>
      <c r="DB2" s="45">
        <f>IF(C2="","",COUNTA(AI2,AL2,AO2,AR2))</f>
        <v/>
      </c>
      <c r="DC2" s="45">
        <f>IF(C2="","",COUNTA(BM2,BO2,BQ2,BS2,BU2,BW2,BY2,CA2))</f>
        <v/>
      </c>
      <c r="DD2" s="45">
        <f>IF(C2="","",COUNTIF(AV2:BL2,"Yes"))</f>
        <v/>
      </c>
      <c r="DE2" s="45">
        <f>IF(C2="","",COUNTIF(CV2:CZ2,"Yes"))</f>
        <v/>
      </c>
    </row>
    <row r="3">
      <c r="A3" s="43" t="n"/>
      <c r="B3" s="44" t="n"/>
      <c r="C3" s="43" t="n"/>
      <c r="D3" s="43" t="n"/>
      <c r="E3" s="43" t="n"/>
      <c r="F3" s="43" t="n"/>
      <c r="G3" s="44" t="n"/>
      <c r="H3" s="43" t="n"/>
      <c r="I3" s="43" t="n"/>
      <c r="J3" s="43" t="n"/>
      <c r="K3" s="43" t="n"/>
      <c r="L3" s="43" t="n"/>
      <c r="M3" s="43" t="n"/>
      <c r="N3" s="43" t="n"/>
      <c r="O3" s="43" t="n"/>
      <c r="P3" s="43" t="n"/>
      <c r="Q3" s="43" t="n"/>
      <c r="R3" s="43" t="n"/>
      <c r="S3" s="43" t="n"/>
      <c r="T3" s="43" t="n"/>
      <c r="U3" s="43" t="n"/>
      <c r="V3" s="43" t="n"/>
      <c r="W3" s="43" t="n"/>
      <c r="X3" s="43" t="n"/>
      <c r="Y3" s="43" t="n"/>
      <c r="Z3" s="43" t="n"/>
      <c r="AA3" s="43" t="n"/>
      <c r="AB3" s="43" t="n"/>
      <c r="AC3" s="43" t="n"/>
      <c r="AD3" s="43" t="n"/>
      <c r="AE3" s="44" t="n"/>
      <c r="AF3" s="43" t="n"/>
      <c r="AG3" s="43" t="n"/>
      <c r="AH3" s="44" t="n"/>
      <c r="AI3" s="43" t="n"/>
      <c r="AJ3" s="43" t="n"/>
      <c r="AK3" s="43" t="n"/>
      <c r="AL3" s="43" t="n"/>
      <c r="AM3" s="43" t="n"/>
      <c r="AN3" s="43" t="n"/>
      <c r="AO3" s="43" t="n"/>
      <c r="AP3" s="43" t="n"/>
      <c r="AQ3" s="43" t="n"/>
      <c r="AR3" s="43" t="n"/>
      <c r="AS3" s="43" t="n"/>
      <c r="AT3" s="43" t="n"/>
      <c r="AU3" s="43" t="n"/>
      <c r="AV3" s="43" t="n"/>
      <c r="AW3" s="43" t="n"/>
      <c r="AX3" s="43" t="n"/>
      <c r="AY3" s="43" t="n"/>
      <c r="AZ3" s="43" t="n"/>
      <c r="BA3" s="43" t="n"/>
      <c r="BB3" s="43" t="n"/>
      <c r="BC3" s="43" t="n"/>
      <c r="BD3" s="43" t="n"/>
      <c r="BE3" s="43" t="n"/>
      <c r="BF3" s="43" t="n"/>
      <c r="BG3" s="43" t="n"/>
      <c r="BH3" s="43" t="n"/>
      <c r="BI3" s="43" t="n"/>
      <c r="BJ3" s="43" t="n"/>
      <c r="BK3" s="43" t="n"/>
      <c r="BL3" s="43" t="n"/>
      <c r="BM3" s="43" t="n"/>
      <c r="BN3" s="43" t="n"/>
      <c r="BO3" s="43" t="n"/>
      <c r="BP3" s="43" t="n"/>
      <c r="BQ3" s="43" t="n"/>
      <c r="BR3" s="43" t="n"/>
      <c r="BS3" s="43" t="n"/>
      <c r="BT3" s="43" t="n"/>
      <c r="BU3" s="43" t="n"/>
      <c r="BV3" s="43" t="n"/>
      <c r="BW3" s="43" t="n"/>
      <c r="BX3" s="43" t="n"/>
      <c r="BY3" s="43" t="n"/>
      <c r="BZ3" s="43" t="n"/>
      <c r="CA3" s="43" t="n"/>
      <c r="CB3" s="43" t="n"/>
      <c r="CC3" s="43" t="n"/>
      <c r="CD3" s="43" t="n"/>
      <c r="CE3" s="43" t="n"/>
      <c r="CF3" s="43" t="n"/>
      <c r="CG3" s="43" t="n"/>
      <c r="CH3" s="43" t="n"/>
      <c r="CI3" s="43" t="n"/>
      <c r="CJ3" s="43" t="n"/>
      <c r="CK3" s="43" t="n"/>
      <c r="CL3" s="43" t="n"/>
      <c r="CM3" s="43" t="n"/>
      <c r="CN3" s="43" t="n"/>
      <c r="CO3" s="43" t="n"/>
      <c r="CP3" s="43" t="n"/>
      <c r="CQ3" s="43" t="n"/>
      <c r="CR3" s="43" t="n"/>
      <c r="CS3" s="43" t="n"/>
      <c r="CT3" s="43" t="n"/>
      <c r="CU3" s="43" t="n"/>
      <c r="CV3" s="43" t="n"/>
      <c r="CW3" s="43" t="n"/>
      <c r="CX3" s="43" t="n"/>
      <c r="CY3" s="43" t="n"/>
      <c r="CZ3" s="43" t="n"/>
      <c r="DA3" s="43" t="n"/>
      <c r="DB3" s="45">
        <f>IF(C3="","",COUNTA(AI3,AL3,AO3,AR3))</f>
        <v/>
      </c>
      <c r="DC3" s="45">
        <f>IF(C3="","",COUNTA(BM3,BO3,BQ3,BS3,BU3,BW3,BY3,CA3))</f>
        <v/>
      </c>
      <c r="DD3" s="45">
        <f>IF(C3="","",COUNTIF(AV3:BL3,"Yes"))</f>
        <v/>
      </c>
      <c r="DE3" s="45">
        <f>IF(C3="","",COUNTIF(CV3:CZ3,"Yes"))</f>
        <v/>
      </c>
    </row>
    <row r="4">
      <c r="A4" s="43" t="n"/>
      <c r="B4" s="44" t="n"/>
      <c r="C4" s="43" t="n"/>
      <c r="D4" s="43" t="n"/>
      <c r="E4" s="43" t="n"/>
      <c r="F4" s="43" t="n"/>
      <c r="G4" s="44" t="n"/>
      <c r="H4" s="43" t="n"/>
      <c r="I4" s="43" t="n"/>
      <c r="J4" s="43" t="n"/>
      <c r="K4" s="43" t="n"/>
      <c r="L4" s="43" t="n"/>
      <c r="M4" s="43" t="n"/>
      <c r="N4" s="43" t="n"/>
      <c r="O4" s="43" t="n"/>
      <c r="P4" s="43" t="n"/>
      <c r="Q4" s="43" t="n"/>
      <c r="R4" s="43" t="n"/>
      <c r="S4" s="43" t="n"/>
      <c r="T4" s="43" t="n"/>
      <c r="U4" s="43" t="n"/>
      <c r="V4" s="43" t="n"/>
      <c r="W4" s="43" t="n"/>
      <c r="X4" s="43" t="n"/>
      <c r="Y4" s="43" t="n"/>
      <c r="Z4" s="43" t="n"/>
      <c r="AA4" s="43" t="n"/>
      <c r="AB4" s="43" t="n"/>
      <c r="AC4" s="43" t="n"/>
      <c r="AD4" s="43" t="n"/>
      <c r="AE4" s="44" t="n"/>
      <c r="AF4" s="43" t="n"/>
      <c r="AG4" s="43" t="n"/>
      <c r="AH4" s="44" t="n"/>
      <c r="AI4" s="43" t="n"/>
      <c r="AJ4" s="43" t="n"/>
      <c r="AK4" s="43" t="n"/>
      <c r="AL4" s="43" t="n"/>
      <c r="AM4" s="43" t="n"/>
      <c r="AN4" s="43" t="n"/>
      <c r="AO4" s="43" t="n"/>
      <c r="AP4" s="43" t="n"/>
      <c r="AQ4" s="43" t="n"/>
      <c r="AR4" s="43" t="n"/>
      <c r="AS4" s="43" t="n"/>
      <c r="AT4" s="43" t="n"/>
      <c r="AU4" s="43" t="n"/>
      <c r="AV4" s="43" t="n"/>
      <c r="AW4" s="43" t="n"/>
      <c r="AX4" s="43" t="n"/>
      <c r="AY4" s="43" t="n"/>
      <c r="AZ4" s="43" t="n"/>
      <c r="BA4" s="43" t="n"/>
      <c r="BB4" s="43" t="n"/>
      <c r="BC4" s="43" t="n"/>
      <c r="BD4" s="43" t="n"/>
      <c r="BE4" s="43" t="n"/>
      <c r="BF4" s="43" t="n"/>
      <c r="BG4" s="43" t="n"/>
      <c r="BH4" s="43" t="n"/>
      <c r="BI4" s="43" t="n"/>
      <c r="BJ4" s="43" t="n"/>
      <c r="BK4" s="43" t="n"/>
      <c r="BL4" s="43" t="n"/>
      <c r="BM4" s="43" t="n"/>
      <c r="BN4" s="43" t="n"/>
      <c r="BO4" s="43" t="n"/>
      <c r="BP4" s="43" t="n"/>
      <c r="BQ4" s="43" t="n"/>
      <c r="BR4" s="43" t="n"/>
      <c r="BS4" s="43" t="n"/>
      <c r="BT4" s="43" t="n"/>
      <c r="BU4" s="43" t="n"/>
      <c r="BV4" s="43" t="n"/>
      <c r="BW4" s="43" t="n"/>
      <c r="BX4" s="43" t="n"/>
      <c r="BY4" s="43" t="n"/>
      <c r="BZ4" s="43" t="n"/>
      <c r="CA4" s="43" t="n"/>
      <c r="CB4" s="43" t="n"/>
      <c r="CC4" s="43" t="n"/>
      <c r="CD4" s="43" t="n"/>
      <c r="CE4" s="43" t="n"/>
      <c r="CF4" s="43" t="n"/>
      <c r="CG4" s="43" t="n"/>
      <c r="CH4" s="43" t="n"/>
      <c r="CI4" s="43" t="n"/>
      <c r="CJ4" s="43" t="n"/>
      <c r="CK4" s="43" t="n"/>
      <c r="CL4" s="43" t="n"/>
      <c r="CM4" s="43" t="n"/>
      <c r="CN4" s="43" t="n"/>
      <c r="CO4" s="43" t="n"/>
      <c r="CP4" s="43" t="n"/>
      <c r="CQ4" s="43" t="n"/>
      <c r="CR4" s="43" t="n"/>
      <c r="CS4" s="43" t="n"/>
      <c r="CT4" s="43" t="n"/>
      <c r="CU4" s="43" t="n"/>
      <c r="CV4" s="43" t="n"/>
      <c r="CW4" s="43" t="n"/>
      <c r="CX4" s="43" t="n"/>
      <c r="CY4" s="43" t="n"/>
      <c r="CZ4" s="43" t="n"/>
      <c r="DA4" s="43" t="n"/>
      <c r="DB4" s="45">
        <f>IF(C4="","",COUNTA(AI4,AL4,AO4,AR4))</f>
        <v/>
      </c>
      <c r="DC4" s="45">
        <f>IF(C4="","",COUNTA(BM4,BO4,BQ4,BS4,BU4,BW4,BY4,CA4))</f>
        <v/>
      </c>
      <c r="DD4" s="45">
        <f>IF(C4="","",COUNTIF(AV4:BL4,"Yes"))</f>
        <v/>
      </c>
      <c r="DE4" s="45">
        <f>IF(C4="","",COUNTIF(CV4:CZ4,"Yes"))</f>
        <v/>
      </c>
    </row>
    <row r="5">
      <c r="A5" s="43" t="n"/>
      <c r="B5" s="44" t="n"/>
      <c r="C5" s="43" t="n"/>
      <c r="D5" s="43" t="n"/>
      <c r="E5" s="43" t="n"/>
      <c r="F5" s="43" t="n"/>
      <c r="G5" s="44" t="n"/>
      <c r="H5" s="43" t="n"/>
      <c r="I5" s="43" t="n"/>
      <c r="J5" s="43" t="n"/>
      <c r="K5" s="43" t="n"/>
      <c r="L5" s="43" t="n"/>
      <c r="M5" s="43" t="n"/>
      <c r="N5" s="43" t="n"/>
      <c r="O5" s="43" t="n"/>
      <c r="P5" s="43" t="n"/>
      <c r="Q5" s="43" t="n"/>
      <c r="R5" s="43" t="n"/>
      <c r="S5" s="43" t="n"/>
      <c r="T5" s="43" t="n"/>
      <c r="U5" s="43" t="n"/>
      <c r="V5" s="43" t="n"/>
      <c r="W5" s="43" t="n"/>
      <c r="X5" s="43" t="n"/>
      <c r="Y5" s="43" t="n"/>
      <c r="Z5" s="43" t="n"/>
      <c r="AA5" s="43" t="n"/>
      <c r="AB5" s="43" t="n"/>
      <c r="AC5" s="43" t="n"/>
      <c r="AD5" s="43" t="n"/>
      <c r="AE5" s="44" t="n"/>
      <c r="AF5" s="43" t="n"/>
      <c r="AG5" s="43" t="n"/>
      <c r="AH5" s="44" t="n"/>
      <c r="AI5" s="43" t="n"/>
      <c r="AJ5" s="43" t="n"/>
      <c r="AK5" s="43" t="n"/>
      <c r="AL5" s="43" t="n"/>
      <c r="AM5" s="43" t="n"/>
      <c r="AN5" s="43" t="n"/>
      <c r="AO5" s="43" t="n"/>
      <c r="AP5" s="43" t="n"/>
      <c r="AQ5" s="43" t="n"/>
      <c r="AR5" s="43" t="n"/>
      <c r="AS5" s="43" t="n"/>
      <c r="AT5" s="43" t="n"/>
      <c r="AU5" s="43" t="n"/>
      <c r="AV5" s="43" t="n"/>
      <c r="AW5" s="43" t="n"/>
      <c r="AX5" s="43" t="n"/>
      <c r="AY5" s="43" t="n"/>
      <c r="AZ5" s="43" t="n"/>
      <c r="BA5" s="43" t="n"/>
      <c r="BB5" s="43" t="n"/>
      <c r="BC5" s="43" t="n"/>
      <c r="BD5" s="43" t="n"/>
      <c r="BE5" s="43" t="n"/>
      <c r="BF5" s="43" t="n"/>
      <c r="BG5" s="43" t="n"/>
      <c r="BH5" s="43" t="n"/>
      <c r="BI5" s="43" t="n"/>
      <c r="BJ5" s="43" t="n"/>
      <c r="BK5" s="43" t="n"/>
      <c r="BL5" s="43" t="n"/>
      <c r="BM5" s="43" t="n"/>
      <c r="BN5" s="43" t="n"/>
      <c r="BO5" s="43" t="n"/>
      <c r="BP5" s="43" t="n"/>
      <c r="BQ5" s="43" t="n"/>
      <c r="BR5" s="43" t="n"/>
      <c r="BS5" s="43" t="n"/>
      <c r="BT5" s="43" t="n"/>
      <c r="BU5" s="43" t="n"/>
      <c r="BV5" s="43" t="n"/>
      <c r="BW5" s="43" t="n"/>
      <c r="BX5" s="43" t="n"/>
      <c r="BY5" s="43" t="n"/>
      <c r="BZ5" s="43" t="n"/>
      <c r="CA5" s="43" t="n"/>
      <c r="CB5" s="43" t="n"/>
      <c r="CC5" s="43" t="n"/>
      <c r="CD5" s="43" t="n"/>
      <c r="CE5" s="43" t="n"/>
      <c r="CF5" s="43" t="n"/>
      <c r="CG5" s="43" t="n"/>
      <c r="CH5" s="43" t="n"/>
      <c r="CI5" s="43" t="n"/>
      <c r="CJ5" s="43" t="n"/>
      <c r="CK5" s="43" t="n"/>
      <c r="CL5" s="43" t="n"/>
      <c r="CM5" s="43" t="n"/>
      <c r="CN5" s="43" t="n"/>
      <c r="CO5" s="43" t="n"/>
      <c r="CP5" s="43" t="n"/>
      <c r="CQ5" s="43" t="n"/>
      <c r="CR5" s="43" t="n"/>
      <c r="CS5" s="43" t="n"/>
      <c r="CT5" s="43" t="n"/>
      <c r="CU5" s="43" t="n"/>
      <c r="CV5" s="43" t="n"/>
      <c r="CW5" s="43" t="n"/>
      <c r="CX5" s="43" t="n"/>
      <c r="CY5" s="43" t="n"/>
      <c r="CZ5" s="43" t="n"/>
      <c r="DA5" s="43" t="n"/>
      <c r="DB5" s="45">
        <f>IF(C5="","",COUNTA(AI5,AL5,AO5,AR5))</f>
        <v/>
      </c>
      <c r="DC5" s="45">
        <f>IF(C5="","",COUNTA(BM5,BO5,BQ5,BS5,BU5,BW5,BY5,CA5))</f>
        <v/>
      </c>
      <c r="DD5" s="45">
        <f>IF(C5="","",COUNTIF(AV5:BL5,"Yes"))</f>
        <v/>
      </c>
      <c r="DE5" s="45">
        <f>IF(C5="","",COUNTIF(CV5:CZ5,"Yes"))</f>
        <v/>
      </c>
    </row>
    <row r="6">
      <c r="A6" s="43" t="n"/>
      <c r="B6" s="44" t="n"/>
      <c r="C6" s="43" t="n"/>
      <c r="D6" s="43" t="n"/>
      <c r="E6" s="43" t="n"/>
      <c r="F6" s="43" t="n"/>
      <c r="G6" s="44" t="n"/>
      <c r="H6" s="43" t="n"/>
      <c r="I6" s="43" t="n"/>
      <c r="J6" s="43" t="n"/>
      <c r="K6" s="43" t="n"/>
      <c r="L6" s="43" t="n"/>
      <c r="M6" s="43" t="n"/>
      <c r="N6" s="43" t="n"/>
      <c r="O6" s="43" t="n"/>
      <c r="P6" s="43" t="n"/>
      <c r="Q6" s="43" t="n"/>
      <c r="R6" s="43" t="n"/>
      <c r="S6" s="43" t="n"/>
      <c r="T6" s="43" t="n"/>
      <c r="U6" s="43" t="n"/>
      <c r="V6" s="43" t="n"/>
      <c r="W6" s="43" t="n"/>
      <c r="X6" s="43" t="n"/>
      <c r="Y6" s="43" t="n"/>
      <c r="Z6" s="43" t="n"/>
      <c r="AA6" s="43" t="n"/>
      <c r="AB6" s="43" t="n"/>
      <c r="AC6" s="43" t="n"/>
      <c r="AD6" s="43" t="n"/>
      <c r="AE6" s="44" t="n"/>
      <c r="AF6" s="43" t="n"/>
      <c r="AG6" s="43" t="n"/>
      <c r="AH6" s="44" t="n"/>
      <c r="AI6" s="43" t="n"/>
      <c r="AJ6" s="43" t="n"/>
      <c r="AK6" s="43" t="n"/>
      <c r="AL6" s="43" t="n"/>
      <c r="AM6" s="43" t="n"/>
      <c r="AN6" s="43" t="n"/>
      <c r="AO6" s="43" t="n"/>
      <c r="AP6" s="43" t="n"/>
      <c r="AQ6" s="43" t="n"/>
      <c r="AR6" s="43" t="n"/>
      <c r="AS6" s="43" t="n"/>
      <c r="AT6" s="43" t="n"/>
      <c r="AU6" s="43" t="n"/>
      <c r="AV6" s="43" t="n"/>
      <c r="AW6" s="43" t="n"/>
      <c r="AX6" s="43" t="n"/>
      <c r="AY6" s="43" t="n"/>
      <c r="AZ6" s="43" t="n"/>
      <c r="BA6" s="43" t="n"/>
      <c r="BB6" s="43" t="n"/>
      <c r="BC6" s="43" t="n"/>
      <c r="BD6" s="43" t="n"/>
      <c r="BE6" s="43" t="n"/>
      <c r="BF6" s="43" t="n"/>
      <c r="BG6" s="43" t="n"/>
      <c r="BH6" s="43" t="n"/>
      <c r="BI6" s="43" t="n"/>
      <c r="BJ6" s="43" t="n"/>
      <c r="BK6" s="43" t="n"/>
      <c r="BL6" s="43" t="n"/>
      <c r="BM6" s="43" t="n"/>
      <c r="BN6" s="43" t="n"/>
      <c r="BO6" s="43" t="n"/>
      <c r="BP6" s="43" t="n"/>
      <c r="BQ6" s="43" t="n"/>
      <c r="BR6" s="43" t="n"/>
      <c r="BS6" s="43" t="n"/>
      <c r="BT6" s="43" t="n"/>
      <c r="BU6" s="43" t="n"/>
      <c r="BV6" s="43" t="n"/>
      <c r="BW6" s="43" t="n"/>
      <c r="BX6" s="43" t="n"/>
      <c r="BY6" s="43" t="n"/>
      <c r="BZ6" s="43" t="n"/>
      <c r="CA6" s="43" t="n"/>
      <c r="CB6" s="43" t="n"/>
      <c r="CC6" s="43" t="n"/>
      <c r="CD6" s="43" t="n"/>
      <c r="CE6" s="43" t="n"/>
      <c r="CF6" s="43" t="n"/>
      <c r="CG6" s="43" t="n"/>
      <c r="CH6" s="43" t="n"/>
      <c r="CI6" s="43" t="n"/>
      <c r="CJ6" s="43" t="n"/>
      <c r="CK6" s="43" t="n"/>
      <c r="CL6" s="43" t="n"/>
      <c r="CM6" s="43" t="n"/>
      <c r="CN6" s="43" t="n"/>
      <c r="CO6" s="43" t="n"/>
      <c r="CP6" s="43" t="n"/>
      <c r="CQ6" s="43" t="n"/>
      <c r="CR6" s="43" t="n"/>
      <c r="CS6" s="43" t="n"/>
      <c r="CT6" s="43" t="n"/>
      <c r="CU6" s="43" t="n"/>
      <c r="CV6" s="43" t="n"/>
      <c r="CW6" s="43" t="n"/>
      <c r="CX6" s="43" t="n"/>
      <c r="CY6" s="43" t="n"/>
      <c r="CZ6" s="43" t="n"/>
      <c r="DA6" s="43" t="n"/>
      <c r="DB6" s="45">
        <f>IF(C6="","",COUNTA(AI6,AL6,AO6,AR6))</f>
        <v/>
      </c>
      <c r="DC6" s="45">
        <f>IF(C6="","",COUNTA(BM6,BO6,BQ6,BS6,BU6,BW6,BY6,CA6))</f>
        <v/>
      </c>
      <c r="DD6" s="45">
        <f>IF(C6="","",COUNTIF(AV6:BL6,"Yes"))</f>
        <v/>
      </c>
      <c r="DE6" s="45">
        <f>IF(C6="","",COUNTIF(CV6:CZ6,"Yes"))</f>
        <v/>
      </c>
    </row>
    <row r="7">
      <c r="A7" s="43" t="n"/>
      <c r="B7" s="44" t="n"/>
      <c r="C7" s="43" t="n"/>
      <c r="D7" s="43" t="n"/>
      <c r="E7" s="43" t="n"/>
      <c r="F7" s="43" t="n"/>
      <c r="G7" s="44" t="n"/>
      <c r="H7" s="43" t="n"/>
      <c r="I7" s="43" t="n"/>
      <c r="J7" s="43" t="n"/>
      <c r="K7" s="43" t="n"/>
      <c r="L7" s="43" t="n"/>
      <c r="M7" s="43" t="n"/>
      <c r="N7" s="43" t="n"/>
      <c r="O7" s="43" t="n"/>
      <c r="P7" s="43" t="n"/>
      <c r="Q7" s="43" t="n"/>
      <c r="R7" s="43" t="n"/>
      <c r="S7" s="43" t="n"/>
      <c r="T7" s="43" t="n"/>
      <c r="U7" s="43" t="n"/>
      <c r="V7" s="43" t="n"/>
      <c r="W7" s="43" t="n"/>
      <c r="X7" s="43" t="n"/>
      <c r="Y7" s="43" t="n"/>
      <c r="Z7" s="43" t="n"/>
      <c r="AA7" s="43" t="n"/>
      <c r="AB7" s="43" t="n"/>
      <c r="AC7" s="43" t="n"/>
      <c r="AD7" s="43" t="n"/>
      <c r="AE7" s="44" t="n"/>
      <c r="AF7" s="43" t="n"/>
      <c r="AG7" s="43" t="n"/>
      <c r="AH7" s="44" t="n"/>
      <c r="AI7" s="43" t="n"/>
      <c r="AJ7" s="43" t="n"/>
      <c r="AK7" s="43" t="n"/>
      <c r="AL7" s="43" t="n"/>
      <c r="AM7" s="43" t="n"/>
      <c r="AN7" s="43" t="n"/>
      <c r="AO7" s="43" t="n"/>
      <c r="AP7" s="43" t="n"/>
      <c r="AQ7" s="43" t="n"/>
      <c r="AR7" s="43" t="n"/>
      <c r="AS7" s="43" t="n"/>
      <c r="AT7" s="43" t="n"/>
      <c r="AU7" s="43" t="n"/>
      <c r="AV7" s="43" t="n"/>
      <c r="AW7" s="43" t="n"/>
      <c r="AX7" s="43" t="n"/>
      <c r="AY7" s="43" t="n"/>
      <c r="AZ7" s="43" t="n"/>
      <c r="BA7" s="43" t="n"/>
      <c r="BB7" s="43" t="n"/>
      <c r="BC7" s="43" t="n"/>
      <c r="BD7" s="43" t="n"/>
      <c r="BE7" s="43" t="n"/>
      <c r="BF7" s="43" t="n"/>
      <c r="BG7" s="43" t="n"/>
      <c r="BH7" s="43" t="n"/>
      <c r="BI7" s="43" t="n"/>
      <c r="BJ7" s="43" t="n"/>
      <c r="BK7" s="43" t="n"/>
      <c r="BL7" s="43" t="n"/>
      <c r="BM7" s="43" t="n"/>
      <c r="BN7" s="43" t="n"/>
      <c r="BO7" s="43" t="n"/>
      <c r="BP7" s="43" t="n"/>
      <c r="BQ7" s="43" t="n"/>
      <c r="BR7" s="43" t="n"/>
      <c r="BS7" s="43" t="n"/>
      <c r="BT7" s="43" t="n"/>
      <c r="BU7" s="43" t="n"/>
      <c r="BV7" s="43" t="n"/>
      <c r="BW7" s="43" t="n"/>
      <c r="BX7" s="43" t="n"/>
      <c r="BY7" s="43" t="n"/>
      <c r="BZ7" s="43" t="n"/>
      <c r="CA7" s="43" t="n"/>
      <c r="CB7" s="43" t="n"/>
      <c r="CC7" s="43" t="n"/>
      <c r="CD7" s="43" t="n"/>
      <c r="CE7" s="43" t="n"/>
      <c r="CF7" s="43" t="n"/>
      <c r="CG7" s="43" t="n"/>
      <c r="CH7" s="43" t="n"/>
      <c r="CI7" s="43" t="n"/>
      <c r="CJ7" s="43" t="n"/>
      <c r="CK7" s="43" t="n"/>
      <c r="CL7" s="43" t="n"/>
      <c r="CM7" s="43" t="n"/>
      <c r="CN7" s="43" t="n"/>
      <c r="CO7" s="43" t="n"/>
      <c r="CP7" s="43" t="n"/>
      <c r="CQ7" s="43" t="n"/>
      <c r="CR7" s="43" t="n"/>
      <c r="CS7" s="43" t="n"/>
      <c r="CT7" s="43" t="n"/>
      <c r="CU7" s="43" t="n"/>
      <c r="CV7" s="43" t="n"/>
      <c r="CW7" s="43" t="n"/>
      <c r="CX7" s="43" t="n"/>
      <c r="CY7" s="43" t="n"/>
      <c r="CZ7" s="43" t="n"/>
      <c r="DA7" s="43" t="n"/>
      <c r="DB7" s="45">
        <f>IF(C7="","",COUNTA(AI7,AL7,AO7,AR7))</f>
        <v/>
      </c>
      <c r="DC7" s="45">
        <f>IF(C7="","",COUNTA(BM7,BO7,BQ7,BS7,BU7,BW7,BY7,CA7))</f>
        <v/>
      </c>
      <c r="DD7" s="45">
        <f>IF(C7="","",COUNTIF(AV7:BL7,"Yes"))</f>
        <v/>
      </c>
      <c r="DE7" s="45">
        <f>IF(C7="","",COUNTIF(CV7:CZ7,"Yes"))</f>
        <v/>
      </c>
    </row>
    <row r="8">
      <c r="A8" s="43" t="n"/>
      <c r="B8" s="44" t="n"/>
      <c r="C8" s="43" t="n"/>
      <c r="D8" s="43" t="n"/>
      <c r="E8" s="43" t="n"/>
      <c r="F8" s="43" t="n"/>
      <c r="G8" s="44" t="n"/>
      <c r="H8" s="43" t="n"/>
      <c r="I8" s="43" t="n"/>
      <c r="J8" s="43" t="n"/>
      <c r="K8" s="43" t="n"/>
      <c r="L8" s="43" t="n"/>
      <c r="M8" s="43" t="n"/>
      <c r="N8" s="43" t="n"/>
      <c r="O8" s="43" t="n"/>
      <c r="P8" s="43" t="n"/>
      <c r="Q8" s="43" t="n"/>
      <c r="R8" s="43" t="n"/>
      <c r="S8" s="43" t="n"/>
      <c r="T8" s="43" t="n"/>
      <c r="U8" s="43" t="n"/>
      <c r="V8" s="43" t="n"/>
      <c r="W8" s="43" t="n"/>
      <c r="X8" s="43" t="n"/>
      <c r="Y8" s="43" t="n"/>
      <c r="Z8" s="43" t="n"/>
      <c r="AA8" s="43" t="n"/>
      <c r="AB8" s="43" t="n"/>
      <c r="AC8" s="43" t="n"/>
      <c r="AD8" s="43" t="n"/>
      <c r="AE8" s="44" t="n"/>
      <c r="AF8" s="43" t="n"/>
      <c r="AG8" s="43" t="n"/>
      <c r="AH8" s="44" t="n"/>
      <c r="AI8" s="43" t="n"/>
      <c r="AJ8" s="43" t="n"/>
      <c r="AK8" s="43" t="n"/>
      <c r="AL8" s="43" t="n"/>
      <c r="AM8" s="43" t="n"/>
      <c r="AN8" s="43" t="n"/>
      <c r="AO8" s="43" t="n"/>
      <c r="AP8" s="43" t="n"/>
      <c r="AQ8" s="43" t="n"/>
      <c r="AR8" s="43" t="n"/>
      <c r="AS8" s="43" t="n"/>
      <c r="AT8" s="43" t="n"/>
      <c r="AU8" s="43" t="n"/>
      <c r="AV8" s="43" t="n"/>
      <c r="AW8" s="43" t="n"/>
      <c r="AX8" s="43" t="n"/>
      <c r="AY8" s="43" t="n"/>
      <c r="AZ8" s="43" t="n"/>
      <c r="BA8" s="43" t="n"/>
      <c r="BB8" s="43" t="n"/>
      <c r="BC8" s="43" t="n"/>
      <c r="BD8" s="43" t="n"/>
      <c r="BE8" s="43" t="n"/>
      <c r="BF8" s="43" t="n"/>
      <c r="BG8" s="43" t="n"/>
      <c r="BH8" s="43" t="n"/>
      <c r="BI8" s="43" t="n"/>
      <c r="BJ8" s="43" t="n"/>
      <c r="BK8" s="43" t="n"/>
      <c r="BL8" s="43" t="n"/>
      <c r="BM8" s="43" t="n"/>
      <c r="BN8" s="43" t="n"/>
      <c r="BO8" s="43" t="n"/>
      <c r="BP8" s="43" t="n"/>
      <c r="BQ8" s="43" t="n"/>
      <c r="BR8" s="43" t="n"/>
      <c r="BS8" s="43" t="n"/>
      <c r="BT8" s="43" t="n"/>
      <c r="BU8" s="43" t="n"/>
      <c r="BV8" s="43" t="n"/>
      <c r="BW8" s="43" t="n"/>
      <c r="BX8" s="43" t="n"/>
      <c r="BY8" s="43" t="n"/>
      <c r="BZ8" s="43" t="n"/>
      <c r="CA8" s="43" t="n"/>
      <c r="CB8" s="43" t="n"/>
      <c r="CC8" s="43" t="n"/>
      <c r="CD8" s="43" t="n"/>
      <c r="CE8" s="43" t="n"/>
      <c r="CF8" s="43" t="n"/>
      <c r="CG8" s="43" t="n"/>
      <c r="CH8" s="43" t="n"/>
      <c r="CI8" s="43" t="n"/>
      <c r="CJ8" s="43" t="n"/>
      <c r="CK8" s="43" t="n"/>
      <c r="CL8" s="43" t="n"/>
      <c r="CM8" s="43" t="n"/>
      <c r="CN8" s="43" t="n"/>
      <c r="CO8" s="43" t="n"/>
      <c r="CP8" s="43" t="n"/>
      <c r="CQ8" s="43" t="n"/>
      <c r="CR8" s="43" t="n"/>
      <c r="CS8" s="43" t="n"/>
      <c r="CT8" s="43" t="n"/>
      <c r="CU8" s="43" t="n"/>
      <c r="CV8" s="43" t="n"/>
      <c r="CW8" s="43" t="n"/>
      <c r="CX8" s="43" t="n"/>
      <c r="CY8" s="43" t="n"/>
      <c r="CZ8" s="43" t="n"/>
      <c r="DA8" s="43" t="n"/>
      <c r="DB8" s="45">
        <f>IF(C8="","",COUNTA(AI8,AL8,AO8,AR8))</f>
        <v/>
      </c>
      <c r="DC8" s="45">
        <f>IF(C8="","",COUNTA(BM8,BO8,BQ8,BS8,BU8,BW8,BY8,CA8))</f>
        <v/>
      </c>
      <c r="DD8" s="45">
        <f>IF(C8="","",COUNTIF(AV8:BL8,"Yes"))</f>
        <v/>
      </c>
      <c r="DE8" s="45">
        <f>IF(C8="","",COUNTIF(CV8:CZ8,"Yes"))</f>
        <v/>
      </c>
    </row>
    <row r="9">
      <c r="A9" s="43" t="n"/>
      <c r="B9" s="44" t="n"/>
      <c r="C9" s="43" t="n"/>
      <c r="D9" s="43" t="n"/>
      <c r="E9" s="43" t="n"/>
      <c r="F9" s="43" t="n"/>
      <c r="G9" s="44" t="n"/>
      <c r="H9" s="43" t="n"/>
      <c r="I9" s="43" t="n"/>
      <c r="J9" s="43" t="n"/>
      <c r="K9" s="43" t="n"/>
      <c r="L9" s="43" t="n"/>
      <c r="M9" s="43" t="n"/>
      <c r="N9" s="43" t="n"/>
      <c r="O9" s="43" t="n"/>
      <c r="P9" s="43" t="n"/>
      <c r="Q9" s="43" t="n"/>
      <c r="R9" s="43" t="n"/>
      <c r="S9" s="43" t="n"/>
      <c r="T9" s="43" t="n"/>
      <c r="U9" s="43" t="n"/>
      <c r="V9" s="43" t="n"/>
      <c r="W9" s="43" t="n"/>
      <c r="X9" s="43" t="n"/>
      <c r="Y9" s="43" t="n"/>
      <c r="Z9" s="43" t="n"/>
      <c r="AA9" s="43" t="n"/>
      <c r="AB9" s="43" t="n"/>
      <c r="AC9" s="43" t="n"/>
      <c r="AD9" s="43" t="n"/>
      <c r="AE9" s="44" t="n"/>
      <c r="AF9" s="43" t="n"/>
      <c r="AG9" s="43" t="n"/>
      <c r="AH9" s="44" t="n"/>
      <c r="AI9" s="43" t="n"/>
      <c r="AJ9" s="43" t="n"/>
      <c r="AK9" s="43" t="n"/>
      <c r="AL9" s="43" t="n"/>
      <c r="AM9" s="43" t="n"/>
      <c r="AN9" s="43" t="n"/>
      <c r="AO9" s="43" t="n"/>
      <c r="AP9" s="43" t="n"/>
      <c r="AQ9" s="43" t="n"/>
      <c r="AR9" s="43" t="n"/>
      <c r="AS9" s="43" t="n"/>
      <c r="AT9" s="43" t="n"/>
      <c r="AU9" s="43" t="n"/>
      <c r="AV9" s="43" t="n"/>
      <c r="AW9" s="43" t="n"/>
      <c r="AX9" s="43" t="n"/>
      <c r="AY9" s="43" t="n"/>
      <c r="AZ9" s="43" t="n"/>
      <c r="BA9" s="43" t="n"/>
      <c r="BB9" s="43" t="n"/>
      <c r="BC9" s="43" t="n"/>
      <c r="BD9" s="43" t="n"/>
      <c r="BE9" s="43" t="n"/>
      <c r="BF9" s="43" t="n"/>
      <c r="BG9" s="43" t="n"/>
      <c r="BH9" s="43" t="n"/>
      <c r="BI9" s="43" t="n"/>
      <c r="BJ9" s="43" t="n"/>
      <c r="BK9" s="43" t="n"/>
      <c r="BL9" s="43" t="n"/>
      <c r="BM9" s="43" t="n"/>
      <c r="BN9" s="43" t="n"/>
      <c r="BO9" s="43" t="n"/>
      <c r="BP9" s="43" t="n"/>
      <c r="BQ9" s="43" t="n"/>
      <c r="BR9" s="43" t="n"/>
      <c r="BS9" s="43" t="n"/>
      <c r="BT9" s="43" t="n"/>
      <c r="BU9" s="43" t="n"/>
      <c r="BV9" s="43" t="n"/>
      <c r="BW9" s="43" t="n"/>
      <c r="BX9" s="43" t="n"/>
      <c r="BY9" s="43" t="n"/>
      <c r="BZ9" s="43" t="n"/>
      <c r="CA9" s="43" t="n"/>
      <c r="CB9" s="43" t="n"/>
      <c r="CC9" s="43" t="n"/>
      <c r="CD9" s="43" t="n"/>
      <c r="CE9" s="43" t="n"/>
      <c r="CF9" s="43" t="n"/>
      <c r="CG9" s="43" t="n"/>
      <c r="CH9" s="43" t="n"/>
      <c r="CI9" s="43" t="n"/>
      <c r="CJ9" s="43" t="n"/>
      <c r="CK9" s="43" t="n"/>
      <c r="CL9" s="43" t="n"/>
      <c r="CM9" s="43" t="n"/>
      <c r="CN9" s="43" t="n"/>
      <c r="CO9" s="43" t="n"/>
      <c r="CP9" s="43" t="n"/>
      <c r="CQ9" s="43" t="n"/>
      <c r="CR9" s="43" t="n"/>
      <c r="CS9" s="43" t="n"/>
      <c r="CT9" s="43" t="n"/>
      <c r="CU9" s="43" t="n"/>
      <c r="CV9" s="43" t="n"/>
      <c r="CW9" s="43" t="n"/>
      <c r="CX9" s="43" t="n"/>
      <c r="CY9" s="43" t="n"/>
      <c r="CZ9" s="43" t="n"/>
      <c r="DA9" s="43" t="n"/>
      <c r="DB9" s="45">
        <f>IF(C9="","",COUNTA(AI9,AL9,AO9,AR9))</f>
        <v/>
      </c>
      <c r="DC9" s="45">
        <f>IF(C9="","",COUNTA(BM9,BO9,BQ9,BS9,BU9,BW9,BY9,CA9))</f>
        <v/>
      </c>
      <c r="DD9" s="45">
        <f>IF(C9="","",COUNTIF(AV9:BL9,"Yes"))</f>
        <v/>
      </c>
      <c r="DE9" s="45">
        <f>IF(C9="","",COUNTIF(CV9:CZ9,"Yes"))</f>
        <v/>
      </c>
    </row>
    <row r="10">
      <c r="A10" s="43" t="n"/>
      <c r="B10" s="44" t="n"/>
      <c r="C10" s="43" t="n"/>
      <c r="D10" s="43" t="n"/>
      <c r="E10" s="43" t="n"/>
      <c r="F10" s="43" t="n"/>
      <c r="G10" s="44" t="n"/>
      <c r="H10" s="43" t="n"/>
      <c r="I10" s="43" t="n"/>
      <c r="J10" s="43" t="n"/>
      <c r="K10" s="43" t="n"/>
      <c r="L10" s="43" t="n"/>
      <c r="M10" s="43" t="n"/>
      <c r="N10" s="43" t="n"/>
      <c r="O10" s="43" t="n"/>
      <c r="P10" s="43" t="n"/>
      <c r="Q10" s="43" t="n"/>
      <c r="R10" s="43" t="n"/>
      <c r="S10" s="43" t="n"/>
      <c r="T10" s="43" t="n"/>
      <c r="U10" s="43" t="n"/>
      <c r="V10" s="43" t="n"/>
      <c r="W10" s="43" t="n"/>
      <c r="X10" s="43" t="n"/>
      <c r="Y10" s="43" t="n"/>
      <c r="Z10" s="43" t="n"/>
      <c r="AA10" s="43" t="n"/>
      <c r="AB10" s="43" t="n"/>
      <c r="AC10" s="43" t="n"/>
      <c r="AD10" s="43" t="n"/>
      <c r="AE10" s="44" t="n"/>
      <c r="AF10" s="43" t="n"/>
      <c r="AG10" s="43" t="n"/>
      <c r="AH10" s="44" t="n"/>
      <c r="AI10" s="43" t="n"/>
      <c r="AJ10" s="43" t="n"/>
      <c r="AK10" s="43" t="n"/>
      <c r="AL10" s="43" t="n"/>
      <c r="AM10" s="43" t="n"/>
      <c r="AN10" s="43" t="n"/>
      <c r="AO10" s="43" t="n"/>
      <c r="AP10" s="43" t="n"/>
      <c r="AQ10" s="43" t="n"/>
      <c r="AR10" s="43" t="n"/>
      <c r="AS10" s="43" t="n"/>
      <c r="AT10" s="43" t="n"/>
      <c r="AU10" s="43" t="n"/>
      <c r="AV10" s="43" t="n"/>
      <c r="AW10" s="43" t="n"/>
      <c r="AX10" s="43" t="n"/>
      <c r="AY10" s="43" t="n"/>
      <c r="AZ10" s="43" t="n"/>
      <c r="BA10" s="43" t="n"/>
      <c r="BB10" s="43" t="n"/>
      <c r="BC10" s="43" t="n"/>
      <c r="BD10" s="43" t="n"/>
      <c r="BE10" s="43" t="n"/>
      <c r="BF10" s="43" t="n"/>
      <c r="BG10" s="43" t="n"/>
      <c r="BH10" s="43" t="n"/>
      <c r="BI10" s="43" t="n"/>
      <c r="BJ10" s="43" t="n"/>
      <c r="BK10" s="43" t="n"/>
      <c r="BL10" s="43" t="n"/>
      <c r="BM10" s="43" t="n"/>
      <c r="BN10" s="43" t="n"/>
      <c r="BO10" s="43" t="n"/>
      <c r="BP10" s="43" t="n"/>
      <c r="BQ10" s="43" t="n"/>
      <c r="BR10" s="43" t="n"/>
      <c r="BS10" s="43" t="n"/>
      <c r="BT10" s="43" t="n"/>
      <c r="BU10" s="43" t="n"/>
      <c r="BV10" s="43" t="n"/>
      <c r="BW10" s="43" t="n"/>
      <c r="BX10" s="43" t="n"/>
      <c r="BY10" s="43" t="n"/>
      <c r="BZ10" s="43" t="n"/>
      <c r="CA10" s="43" t="n"/>
      <c r="CB10" s="43" t="n"/>
      <c r="CC10" s="43" t="n"/>
      <c r="CD10" s="43" t="n"/>
      <c r="CE10" s="43" t="n"/>
      <c r="CF10" s="43" t="n"/>
      <c r="CG10" s="43" t="n"/>
      <c r="CH10" s="43" t="n"/>
      <c r="CI10" s="43" t="n"/>
      <c r="CJ10" s="43" t="n"/>
      <c r="CK10" s="43" t="n"/>
      <c r="CL10" s="43" t="n"/>
      <c r="CM10" s="43" t="n"/>
      <c r="CN10" s="43" t="n"/>
      <c r="CO10" s="43" t="n"/>
      <c r="CP10" s="43" t="n"/>
      <c r="CQ10" s="43" t="n"/>
      <c r="CR10" s="43" t="n"/>
      <c r="CS10" s="43" t="n"/>
      <c r="CT10" s="43" t="n"/>
      <c r="CU10" s="43" t="n"/>
      <c r="CV10" s="43" t="n"/>
      <c r="CW10" s="43" t="n"/>
      <c r="CX10" s="43" t="n"/>
      <c r="CY10" s="43" t="n"/>
      <c r="CZ10" s="43" t="n"/>
      <c r="DA10" s="43" t="n"/>
      <c r="DB10" s="45">
        <f>IF(C10="","",COUNTA(AI10,AL10,AO10,AR10))</f>
        <v/>
      </c>
      <c r="DC10" s="45">
        <f>IF(C10="","",COUNTA(BM10,BO10,BQ10,BS10,BU10,BW10,BY10,CA10))</f>
        <v/>
      </c>
      <c r="DD10" s="45">
        <f>IF(C10="","",COUNTIF(AV10:BL10,"Yes"))</f>
        <v/>
      </c>
      <c r="DE10" s="45">
        <f>IF(C10="","",COUNTIF(CV10:CZ10,"Yes"))</f>
        <v/>
      </c>
    </row>
    <row r="11">
      <c r="A11" s="43" t="n"/>
      <c r="B11" s="44" t="n"/>
      <c r="C11" s="43" t="n"/>
      <c r="D11" s="43" t="n"/>
      <c r="E11" s="43" t="n"/>
      <c r="F11" s="43" t="n"/>
      <c r="G11" s="44" t="n"/>
      <c r="H11" s="43" t="n"/>
      <c r="I11" s="43" t="n"/>
      <c r="J11" s="43" t="n"/>
      <c r="K11" s="43" t="n"/>
      <c r="L11" s="43" t="n"/>
      <c r="M11" s="43" t="n"/>
      <c r="N11" s="43" t="n"/>
      <c r="O11" s="43" t="n"/>
      <c r="P11" s="43" t="n"/>
      <c r="Q11" s="43" t="n"/>
      <c r="R11" s="43" t="n"/>
      <c r="S11" s="43" t="n"/>
      <c r="T11" s="43" t="n"/>
      <c r="U11" s="43" t="n"/>
      <c r="V11" s="43" t="n"/>
      <c r="W11" s="43" t="n"/>
      <c r="X11" s="43" t="n"/>
      <c r="Y11" s="43" t="n"/>
      <c r="Z11" s="43" t="n"/>
      <c r="AA11" s="43" t="n"/>
      <c r="AB11" s="43" t="n"/>
      <c r="AC11" s="43" t="n"/>
      <c r="AD11" s="43" t="n"/>
      <c r="AE11" s="44" t="n"/>
      <c r="AF11" s="43" t="n"/>
      <c r="AG11" s="43" t="n"/>
      <c r="AH11" s="44" t="n"/>
      <c r="AI11" s="43" t="n"/>
      <c r="AJ11" s="43" t="n"/>
      <c r="AK11" s="43" t="n"/>
      <c r="AL11" s="43" t="n"/>
      <c r="AM11" s="43" t="n"/>
      <c r="AN11" s="43" t="n"/>
      <c r="AO11" s="43" t="n"/>
      <c r="AP11" s="43" t="n"/>
      <c r="AQ11" s="43" t="n"/>
      <c r="AR11" s="43" t="n"/>
      <c r="AS11" s="43" t="n"/>
      <c r="AT11" s="43" t="n"/>
      <c r="AU11" s="43" t="n"/>
      <c r="AV11" s="43" t="n"/>
      <c r="AW11" s="43" t="n"/>
      <c r="AX11" s="43" t="n"/>
      <c r="AY11" s="43" t="n"/>
      <c r="AZ11" s="43" t="n"/>
      <c r="BA11" s="43" t="n"/>
      <c r="BB11" s="43" t="n"/>
      <c r="BC11" s="43" t="n"/>
      <c r="BD11" s="43" t="n"/>
      <c r="BE11" s="43" t="n"/>
      <c r="BF11" s="43" t="n"/>
      <c r="BG11" s="43" t="n"/>
      <c r="BH11" s="43" t="n"/>
      <c r="BI11" s="43" t="n"/>
      <c r="BJ11" s="43" t="n"/>
      <c r="BK11" s="43" t="n"/>
      <c r="BL11" s="43" t="n"/>
      <c r="BM11" s="43" t="n"/>
      <c r="BN11" s="43" t="n"/>
      <c r="BO11" s="43" t="n"/>
      <c r="BP11" s="43" t="n"/>
      <c r="BQ11" s="43" t="n"/>
      <c r="BR11" s="43" t="n"/>
      <c r="BS11" s="43" t="n"/>
      <c r="BT11" s="43" t="n"/>
      <c r="BU11" s="43" t="n"/>
      <c r="BV11" s="43" t="n"/>
      <c r="BW11" s="43" t="n"/>
      <c r="BX11" s="43" t="n"/>
      <c r="BY11" s="43" t="n"/>
      <c r="BZ11" s="43" t="n"/>
      <c r="CA11" s="43" t="n"/>
      <c r="CB11" s="43" t="n"/>
      <c r="CC11" s="43" t="n"/>
      <c r="CD11" s="43" t="n"/>
      <c r="CE11" s="43" t="n"/>
      <c r="CF11" s="43" t="n"/>
      <c r="CG11" s="43" t="n"/>
      <c r="CH11" s="43" t="n"/>
      <c r="CI11" s="43" t="n"/>
      <c r="CJ11" s="43" t="n"/>
      <c r="CK11" s="43" t="n"/>
      <c r="CL11" s="43" t="n"/>
      <c r="CM11" s="43" t="n"/>
      <c r="CN11" s="43" t="n"/>
      <c r="CO11" s="43" t="n"/>
      <c r="CP11" s="43" t="n"/>
      <c r="CQ11" s="43" t="n"/>
      <c r="CR11" s="43" t="n"/>
      <c r="CS11" s="43" t="n"/>
      <c r="CT11" s="43" t="n"/>
      <c r="CU11" s="43" t="n"/>
      <c r="CV11" s="43" t="n"/>
      <c r="CW11" s="43" t="n"/>
      <c r="CX11" s="43" t="n"/>
      <c r="CY11" s="43" t="n"/>
      <c r="CZ11" s="43" t="n"/>
      <c r="DA11" s="43" t="n"/>
      <c r="DB11" s="45">
        <f>IF(C11="","",COUNTA(AI11,AL11,AO11,AR11))</f>
        <v/>
      </c>
      <c r="DC11" s="45">
        <f>IF(C11="","",COUNTA(BM11,BO11,BQ11,BS11,BU11,BW11,BY11,CA11))</f>
        <v/>
      </c>
      <c r="DD11" s="45">
        <f>IF(C11="","",COUNTIF(AV11:BL11,"Yes"))</f>
        <v/>
      </c>
      <c r="DE11" s="45">
        <f>IF(C11="","",COUNTIF(CV11:CZ11,"Yes"))</f>
        <v/>
      </c>
    </row>
    <row r="12">
      <c r="A12" s="43" t="n"/>
      <c r="B12" s="44" t="n"/>
      <c r="C12" s="43" t="n"/>
      <c r="D12" s="43" t="n"/>
      <c r="E12" s="43" t="n"/>
      <c r="F12" s="43" t="n"/>
      <c r="G12" s="44" t="n"/>
      <c r="H12" s="43" t="n"/>
      <c r="I12" s="43" t="n"/>
      <c r="J12" s="43" t="n"/>
      <c r="K12" s="43" t="n"/>
      <c r="L12" s="43" t="n"/>
      <c r="M12" s="43" t="n"/>
      <c r="N12" s="43" t="n"/>
      <c r="O12" s="43" t="n"/>
      <c r="P12" s="43" t="n"/>
      <c r="Q12" s="43" t="n"/>
      <c r="R12" s="43" t="n"/>
      <c r="S12" s="43" t="n"/>
      <c r="T12" s="43" t="n"/>
      <c r="U12" s="43" t="n"/>
      <c r="V12" s="43" t="n"/>
      <c r="W12" s="43" t="n"/>
      <c r="X12" s="43" t="n"/>
      <c r="Y12" s="43" t="n"/>
      <c r="Z12" s="43" t="n"/>
      <c r="AA12" s="43" t="n"/>
      <c r="AB12" s="43" t="n"/>
      <c r="AC12" s="43" t="n"/>
      <c r="AD12" s="43" t="n"/>
      <c r="AE12" s="44" t="n"/>
      <c r="AF12" s="43" t="n"/>
      <c r="AG12" s="43" t="n"/>
      <c r="AH12" s="44" t="n"/>
      <c r="AI12" s="43" t="n"/>
      <c r="AJ12" s="43" t="n"/>
      <c r="AK12" s="43" t="n"/>
      <c r="AL12" s="43" t="n"/>
      <c r="AM12" s="43" t="n"/>
      <c r="AN12" s="43" t="n"/>
      <c r="AO12" s="43" t="n"/>
      <c r="AP12" s="43" t="n"/>
      <c r="AQ12" s="43" t="n"/>
      <c r="AR12" s="43" t="n"/>
      <c r="AS12" s="43" t="n"/>
      <c r="AT12" s="43" t="n"/>
      <c r="AU12" s="43" t="n"/>
      <c r="AV12" s="43" t="n"/>
      <c r="AW12" s="43" t="n"/>
      <c r="AX12" s="43" t="n"/>
      <c r="AY12" s="43" t="n"/>
      <c r="AZ12" s="43" t="n"/>
      <c r="BA12" s="43" t="n"/>
      <c r="BB12" s="43" t="n"/>
      <c r="BC12" s="43" t="n"/>
      <c r="BD12" s="43" t="n"/>
      <c r="BE12" s="43" t="n"/>
      <c r="BF12" s="43" t="n"/>
      <c r="BG12" s="43" t="n"/>
      <c r="BH12" s="43" t="n"/>
      <c r="BI12" s="43" t="n"/>
      <c r="BJ12" s="43" t="n"/>
      <c r="BK12" s="43" t="n"/>
      <c r="BL12" s="43" t="n"/>
      <c r="BM12" s="43" t="n"/>
      <c r="BN12" s="43" t="n"/>
      <c r="BO12" s="43" t="n"/>
      <c r="BP12" s="43" t="n"/>
      <c r="BQ12" s="43" t="n"/>
      <c r="BR12" s="43" t="n"/>
      <c r="BS12" s="43" t="n"/>
      <c r="BT12" s="43" t="n"/>
      <c r="BU12" s="43" t="n"/>
      <c r="BV12" s="43" t="n"/>
      <c r="BW12" s="43" t="n"/>
      <c r="BX12" s="43" t="n"/>
      <c r="BY12" s="43" t="n"/>
      <c r="BZ12" s="43" t="n"/>
      <c r="CA12" s="43" t="n"/>
      <c r="CB12" s="43" t="n"/>
      <c r="CC12" s="43" t="n"/>
      <c r="CD12" s="43" t="n"/>
      <c r="CE12" s="43" t="n"/>
      <c r="CF12" s="43" t="n"/>
      <c r="CG12" s="43" t="n"/>
      <c r="CH12" s="43" t="n"/>
      <c r="CI12" s="43" t="n"/>
      <c r="CJ12" s="43" t="n"/>
      <c r="CK12" s="43" t="n"/>
      <c r="CL12" s="43" t="n"/>
      <c r="CM12" s="43" t="n"/>
      <c r="CN12" s="43" t="n"/>
      <c r="CO12" s="43" t="n"/>
      <c r="CP12" s="43" t="n"/>
      <c r="CQ12" s="43" t="n"/>
      <c r="CR12" s="43" t="n"/>
      <c r="CS12" s="43" t="n"/>
      <c r="CT12" s="43" t="n"/>
      <c r="CU12" s="43" t="n"/>
      <c r="CV12" s="43" t="n"/>
      <c r="CW12" s="43" t="n"/>
      <c r="CX12" s="43" t="n"/>
      <c r="CY12" s="43" t="n"/>
      <c r="CZ12" s="43" t="n"/>
      <c r="DA12" s="43" t="n"/>
      <c r="DB12" s="45">
        <f>IF(C12="","",COUNTA(AI12,AL12,AO12,AR12))</f>
        <v/>
      </c>
      <c r="DC12" s="45">
        <f>IF(C12="","",COUNTA(BM12,BO12,BQ12,BS12,BU12,BW12,BY12,CA12))</f>
        <v/>
      </c>
      <c r="DD12" s="45">
        <f>IF(C12="","",COUNTIF(AV12:BL12,"Yes"))</f>
        <v/>
      </c>
      <c r="DE12" s="45">
        <f>IF(C12="","",COUNTIF(CV12:CZ12,"Yes"))</f>
        <v/>
      </c>
    </row>
    <row r="13">
      <c r="A13" s="43" t="n"/>
      <c r="B13" s="44" t="n"/>
      <c r="C13" s="43" t="n"/>
      <c r="D13" s="43" t="n"/>
      <c r="E13" s="43" t="n"/>
      <c r="F13" s="43" t="n"/>
      <c r="G13" s="44" t="n"/>
      <c r="H13" s="43" t="n"/>
      <c r="I13" s="43" t="n"/>
      <c r="J13" s="43" t="n"/>
      <c r="K13" s="43" t="n"/>
      <c r="L13" s="43" t="n"/>
      <c r="M13" s="43" t="n"/>
      <c r="N13" s="43" t="n"/>
      <c r="O13" s="43" t="n"/>
      <c r="P13" s="43" t="n"/>
      <c r="Q13" s="43" t="n"/>
      <c r="R13" s="43" t="n"/>
      <c r="S13" s="43" t="n"/>
      <c r="T13" s="43" t="n"/>
      <c r="U13" s="43" t="n"/>
      <c r="V13" s="43" t="n"/>
      <c r="W13" s="43" t="n"/>
      <c r="X13" s="43" t="n"/>
      <c r="Y13" s="43" t="n"/>
      <c r="Z13" s="43" t="n"/>
      <c r="AA13" s="43" t="n"/>
      <c r="AB13" s="43" t="n"/>
      <c r="AC13" s="43" t="n"/>
      <c r="AD13" s="43" t="n"/>
      <c r="AE13" s="44" t="n"/>
      <c r="AF13" s="43" t="n"/>
      <c r="AG13" s="43" t="n"/>
      <c r="AH13" s="44" t="n"/>
      <c r="AI13" s="43" t="n"/>
      <c r="AJ13" s="43" t="n"/>
      <c r="AK13" s="43" t="n"/>
      <c r="AL13" s="43" t="n"/>
      <c r="AM13" s="43" t="n"/>
      <c r="AN13" s="43" t="n"/>
      <c r="AO13" s="43" t="n"/>
      <c r="AP13" s="43" t="n"/>
      <c r="AQ13" s="43" t="n"/>
      <c r="AR13" s="43" t="n"/>
      <c r="AS13" s="43" t="n"/>
      <c r="AT13" s="43" t="n"/>
      <c r="AU13" s="43" t="n"/>
      <c r="AV13" s="43" t="n"/>
      <c r="AW13" s="43" t="n"/>
      <c r="AX13" s="43" t="n"/>
      <c r="AY13" s="43" t="n"/>
      <c r="AZ13" s="43" t="n"/>
      <c r="BA13" s="43" t="n"/>
      <c r="BB13" s="43" t="n"/>
      <c r="BC13" s="43" t="n"/>
      <c r="BD13" s="43" t="n"/>
      <c r="BE13" s="43" t="n"/>
      <c r="BF13" s="43" t="n"/>
      <c r="BG13" s="43" t="n"/>
      <c r="BH13" s="43" t="n"/>
      <c r="BI13" s="43" t="n"/>
      <c r="BJ13" s="43" t="n"/>
      <c r="BK13" s="43" t="n"/>
      <c r="BL13" s="43" t="n"/>
      <c r="BM13" s="43" t="n"/>
      <c r="BN13" s="43" t="n"/>
      <c r="BO13" s="43" t="n"/>
      <c r="BP13" s="43" t="n"/>
      <c r="BQ13" s="43" t="n"/>
      <c r="BR13" s="43" t="n"/>
      <c r="BS13" s="43" t="n"/>
      <c r="BT13" s="43" t="n"/>
      <c r="BU13" s="43" t="n"/>
      <c r="BV13" s="43" t="n"/>
      <c r="BW13" s="43" t="n"/>
      <c r="BX13" s="43" t="n"/>
      <c r="BY13" s="43" t="n"/>
      <c r="BZ13" s="43" t="n"/>
      <c r="CA13" s="43" t="n"/>
      <c r="CB13" s="43" t="n"/>
      <c r="CC13" s="43" t="n"/>
      <c r="CD13" s="43" t="n"/>
      <c r="CE13" s="43" t="n"/>
      <c r="CF13" s="43" t="n"/>
      <c r="CG13" s="43" t="n"/>
      <c r="CH13" s="43" t="n"/>
      <c r="CI13" s="43" t="n"/>
      <c r="CJ13" s="43" t="n"/>
      <c r="CK13" s="43" t="n"/>
      <c r="CL13" s="43" t="n"/>
      <c r="CM13" s="43" t="n"/>
      <c r="CN13" s="43" t="n"/>
      <c r="CO13" s="43" t="n"/>
      <c r="CP13" s="43" t="n"/>
      <c r="CQ13" s="43" t="n"/>
      <c r="CR13" s="43" t="n"/>
      <c r="CS13" s="43" t="n"/>
      <c r="CT13" s="43" t="n"/>
      <c r="CU13" s="43" t="n"/>
      <c r="CV13" s="43" t="n"/>
      <c r="CW13" s="43" t="n"/>
      <c r="CX13" s="43" t="n"/>
      <c r="CY13" s="43" t="n"/>
      <c r="CZ13" s="43" t="n"/>
      <c r="DA13" s="43" t="n"/>
      <c r="DB13" s="45">
        <f>IF(C13="","",COUNTA(AI13,AL13,AO13,AR13))</f>
        <v/>
      </c>
      <c r="DC13" s="45">
        <f>IF(C13="","",COUNTA(BM13,BO13,BQ13,BS13,BU13,BW13,BY13,CA13))</f>
        <v/>
      </c>
      <c r="DD13" s="45">
        <f>IF(C13="","",COUNTIF(AV13:BL13,"Yes"))</f>
        <v/>
      </c>
      <c r="DE13" s="45">
        <f>IF(C13="","",COUNTIF(CV13:CZ13,"Yes"))</f>
        <v/>
      </c>
    </row>
    <row r="14">
      <c r="A14" s="43" t="n"/>
      <c r="B14" s="44" t="n"/>
      <c r="C14" s="43" t="n"/>
      <c r="D14" s="43" t="n"/>
      <c r="E14" s="43" t="n"/>
      <c r="F14" s="43" t="n"/>
      <c r="G14" s="44" t="n"/>
      <c r="H14" s="43" t="n"/>
      <c r="I14" s="43" t="n"/>
      <c r="J14" s="43" t="n"/>
      <c r="K14" s="43" t="n"/>
      <c r="L14" s="43" t="n"/>
      <c r="M14" s="43" t="n"/>
      <c r="N14" s="43" t="n"/>
      <c r="O14" s="43" t="n"/>
      <c r="P14" s="43" t="n"/>
      <c r="Q14" s="43" t="n"/>
      <c r="R14" s="43" t="n"/>
      <c r="S14" s="43" t="n"/>
      <c r="T14" s="43" t="n"/>
      <c r="U14" s="43" t="n"/>
      <c r="V14" s="43" t="n"/>
      <c r="W14" s="43" t="n"/>
      <c r="X14" s="43" t="n"/>
      <c r="Y14" s="43" t="n"/>
      <c r="Z14" s="43" t="n"/>
      <c r="AA14" s="43" t="n"/>
      <c r="AB14" s="43" t="n"/>
      <c r="AC14" s="43" t="n"/>
      <c r="AD14" s="43" t="n"/>
      <c r="AE14" s="44" t="n"/>
      <c r="AF14" s="43" t="n"/>
      <c r="AG14" s="43" t="n"/>
      <c r="AH14" s="44" t="n"/>
      <c r="AI14" s="43" t="n"/>
      <c r="AJ14" s="43" t="n"/>
      <c r="AK14" s="43" t="n"/>
      <c r="AL14" s="43" t="n"/>
      <c r="AM14" s="43" t="n"/>
      <c r="AN14" s="43" t="n"/>
      <c r="AO14" s="43" t="n"/>
      <c r="AP14" s="43" t="n"/>
      <c r="AQ14" s="43" t="n"/>
      <c r="AR14" s="43" t="n"/>
      <c r="AS14" s="43" t="n"/>
      <c r="AT14" s="43" t="n"/>
      <c r="AU14" s="43" t="n"/>
      <c r="AV14" s="43" t="n"/>
      <c r="AW14" s="43" t="n"/>
      <c r="AX14" s="43" t="n"/>
      <c r="AY14" s="43" t="n"/>
      <c r="AZ14" s="43" t="n"/>
      <c r="BA14" s="43" t="n"/>
      <c r="BB14" s="43" t="n"/>
      <c r="BC14" s="43" t="n"/>
      <c r="BD14" s="43" t="n"/>
      <c r="BE14" s="43" t="n"/>
      <c r="BF14" s="43" t="n"/>
      <c r="BG14" s="43" t="n"/>
      <c r="BH14" s="43" t="n"/>
      <c r="BI14" s="43" t="n"/>
      <c r="BJ14" s="43" t="n"/>
      <c r="BK14" s="43" t="n"/>
      <c r="BL14" s="43" t="n"/>
      <c r="BM14" s="43" t="n"/>
      <c r="BN14" s="43" t="n"/>
      <c r="BO14" s="43" t="n"/>
      <c r="BP14" s="43" t="n"/>
      <c r="BQ14" s="43" t="n"/>
      <c r="BR14" s="43" t="n"/>
      <c r="BS14" s="43" t="n"/>
      <c r="BT14" s="43" t="n"/>
      <c r="BU14" s="43" t="n"/>
      <c r="BV14" s="43" t="n"/>
      <c r="BW14" s="43" t="n"/>
      <c r="BX14" s="43" t="n"/>
      <c r="BY14" s="43" t="n"/>
      <c r="BZ14" s="43" t="n"/>
      <c r="CA14" s="43" t="n"/>
      <c r="CB14" s="43" t="n"/>
      <c r="CC14" s="43" t="n"/>
      <c r="CD14" s="43" t="n"/>
      <c r="CE14" s="43" t="n"/>
      <c r="CF14" s="43" t="n"/>
      <c r="CG14" s="43" t="n"/>
      <c r="CH14" s="43" t="n"/>
      <c r="CI14" s="43" t="n"/>
      <c r="CJ14" s="43" t="n"/>
      <c r="CK14" s="43" t="n"/>
      <c r="CL14" s="43" t="n"/>
      <c r="CM14" s="43" t="n"/>
      <c r="CN14" s="43" t="n"/>
      <c r="CO14" s="43" t="n"/>
      <c r="CP14" s="43" t="n"/>
      <c r="CQ14" s="43" t="n"/>
      <c r="CR14" s="43" t="n"/>
      <c r="CS14" s="43" t="n"/>
      <c r="CT14" s="43" t="n"/>
      <c r="CU14" s="43" t="n"/>
      <c r="CV14" s="43" t="n"/>
      <c r="CW14" s="43" t="n"/>
      <c r="CX14" s="43" t="n"/>
      <c r="CY14" s="43" t="n"/>
      <c r="CZ14" s="43" t="n"/>
      <c r="DA14" s="43" t="n"/>
      <c r="DB14" s="45">
        <f>IF(C14="","",COUNTA(AI14,AL14,AO14,AR14))</f>
        <v/>
      </c>
      <c r="DC14" s="45">
        <f>IF(C14="","",COUNTA(BM14,BO14,BQ14,BS14,BU14,BW14,BY14,CA14))</f>
        <v/>
      </c>
      <c r="DD14" s="45">
        <f>IF(C14="","",COUNTIF(AV14:BL14,"Yes"))</f>
        <v/>
      </c>
      <c r="DE14" s="45">
        <f>IF(C14="","",COUNTIF(CV14:CZ14,"Yes"))</f>
        <v/>
      </c>
    </row>
    <row r="15">
      <c r="A15" s="43" t="n"/>
      <c r="B15" s="44" t="n"/>
      <c r="C15" s="43" t="n"/>
      <c r="D15" s="43" t="n"/>
      <c r="E15" s="43" t="n"/>
      <c r="F15" s="43" t="n"/>
      <c r="G15" s="44" t="n"/>
      <c r="H15" s="43" t="n"/>
      <c r="I15" s="43" t="n"/>
      <c r="J15" s="43" t="n"/>
      <c r="K15" s="43" t="n"/>
      <c r="L15" s="43" t="n"/>
      <c r="M15" s="43" t="n"/>
      <c r="N15" s="43" t="n"/>
      <c r="O15" s="43" t="n"/>
      <c r="P15" s="43" t="n"/>
      <c r="Q15" s="43" t="n"/>
      <c r="R15" s="43" t="n"/>
      <c r="S15" s="43" t="n"/>
      <c r="T15" s="43" t="n"/>
      <c r="U15" s="43" t="n"/>
      <c r="V15" s="43" t="n"/>
      <c r="W15" s="43" t="n"/>
      <c r="X15" s="43" t="n"/>
      <c r="Y15" s="43" t="n"/>
      <c r="Z15" s="43" t="n"/>
      <c r="AA15" s="43" t="n"/>
      <c r="AB15" s="43" t="n"/>
      <c r="AC15" s="43" t="n"/>
      <c r="AD15" s="43" t="n"/>
      <c r="AE15" s="44" t="n"/>
      <c r="AF15" s="43" t="n"/>
      <c r="AG15" s="43" t="n"/>
      <c r="AH15" s="44" t="n"/>
      <c r="AI15" s="43" t="n"/>
      <c r="AJ15" s="43" t="n"/>
      <c r="AK15" s="43" t="n"/>
      <c r="AL15" s="43" t="n"/>
      <c r="AM15" s="43" t="n"/>
      <c r="AN15" s="43" t="n"/>
      <c r="AO15" s="43" t="n"/>
      <c r="AP15" s="43" t="n"/>
      <c r="AQ15" s="43" t="n"/>
      <c r="AR15" s="43" t="n"/>
      <c r="AS15" s="43" t="n"/>
      <c r="AT15" s="43" t="n"/>
      <c r="AU15" s="43" t="n"/>
      <c r="AV15" s="43" t="n"/>
      <c r="AW15" s="43" t="n"/>
      <c r="AX15" s="43" t="n"/>
      <c r="AY15" s="43" t="n"/>
      <c r="AZ15" s="43" t="n"/>
      <c r="BA15" s="43" t="n"/>
      <c r="BB15" s="43" t="n"/>
      <c r="BC15" s="43" t="n"/>
      <c r="BD15" s="43" t="n"/>
      <c r="BE15" s="43" t="n"/>
      <c r="BF15" s="43" t="n"/>
      <c r="BG15" s="43" t="n"/>
      <c r="BH15" s="43" t="n"/>
      <c r="BI15" s="43" t="n"/>
      <c r="BJ15" s="43" t="n"/>
      <c r="BK15" s="43" t="n"/>
      <c r="BL15" s="43" t="n"/>
      <c r="BM15" s="43" t="n"/>
      <c r="BN15" s="43" t="n"/>
      <c r="BO15" s="43" t="n"/>
      <c r="BP15" s="43" t="n"/>
      <c r="BQ15" s="43" t="n"/>
      <c r="BR15" s="43" t="n"/>
      <c r="BS15" s="43" t="n"/>
      <c r="BT15" s="43" t="n"/>
      <c r="BU15" s="43" t="n"/>
      <c r="BV15" s="43" t="n"/>
      <c r="BW15" s="43" t="n"/>
      <c r="BX15" s="43" t="n"/>
      <c r="BY15" s="43" t="n"/>
      <c r="BZ15" s="43" t="n"/>
      <c r="CA15" s="43" t="n"/>
      <c r="CB15" s="43" t="n"/>
      <c r="CC15" s="43" t="n"/>
      <c r="CD15" s="43" t="n"/>
      <c r="CE15" s="43" t="n"/>
      <c r="CF15" s="43" t="n"/>
      <c r="CG15" s="43" t="n"/>
      <c r="CH15" s="43" t="n"/>
      <c r="CI15" s="43" t="n"/>
      <c r="CJ15" s="43" t="n"/>
      <c r="CK15" s="43" t="n"/>
      <c r="CL15" s="43" t="n"/>
      <c r="CM15" s="43" t="n"/>
      <c r="CN15" s="43" t="n"/>
      <c r="CO15" s="43" t="n"/>
      <c r="CP15" s="43" t="n"/>
      <c r="CQ15" s="43" t="n"/>
      <c r="CR15" s="43" t="n"/>
      <c r="CS15" s="43" t="n"/>
      <c r="CT15" s="43" t="n"/>
      <c r="CU15" s="43" t="n"/>
      <c r="CV15" s="43" t="n"/>
      <c r="CW15" s="43" t="n"/>
      <c r="CX15" s="43" t="n"/>
      <c r="CY15" s="43" t="n"/>
      <c r="CZ15" s="43" t="n"/>
      <c r="DA15" s="43" t="n"/>
      <c r="DB15" s="45">
        <f>IF(C15="","",COUNTA(AI15,AL15,AO15,AR15))</f>
        <v/>
      </c>
      <c r="DC15" s="45">
        <f>IF(C15="","",COUNTA(BM15,BO15,BQ15,BS15,BU15,BW15,BY15,CA15))</f>
        <v/>
      </c>
      <c r="DD15" s="45">
        <f>IF(C15="","",COUNTIF(AV15:BL15,"Yes"))</f>
        <v/>
      </c>
      <c r="DE15" s="45">
        <f>IF(C15="","",COUNTIF(CV15:CZ15,"Yes"))</f>
        <v/>
      </c>
    </row>
    <row r="16">
      <c r="A16" s="43" t="n"/>
      <c r="B16" s="44" t="n"/>
      <c r="C16" s="43" t="n"/>
      <c r="D16" s="43" t="n"/>
      <c r="E16" s="43" t="n"/>
      <c r="F16" s="43" t="n"/>
      <c r="G16" s="44" t="n"/>
      <c r="H16" s="43" t="n"/>
      <c r="I16" s="43" t="n"/>
      <c r="J16" s="43" t="n"/>
      <c r="K16" s="43" t="n"/>
      <c r="L16" s="43" t="n"/>
      <c r="M16" s="43" t="n"/>
      <c r="N16" s="43" t="n"/>
      <c r="O16" s="43" t="n"/>
      <c r="P16" s="43" t="n"/>
      <c r="Q16" s="43" t="n"/>
      <c r="R16" s="43" t="n"/>
      <c r="S16" s="43" t="n"/>
      <c r="T16" s="43" t="n"/>
      <c r="U16" s="43" t="n"/>
      <c r="V16" s="43" t="n"/>
      <c r="W16" s="43" t="n"/>
      <c r="X16" s="43" t="n"/>
      <c r="Y16" s="43" t="n"/>
      <c r="Z16" s="43" t="n"/>
      <c r="AA16" s="43" t="n"/>
      <c r="AB16" s="43" t="n"/>
      <c r="AC16" s="43" t="n"/>
      <c r="AD16" s="43" t="n"/>
      <c r="AE16" s="44" t="n"/>
      <c r="AF16" s="43" t="n"/>
      <c r="AG16" s="43" t="n"/>
      <c r="AH16" s="44" t="n"/>
      <c r="AI16" s="43" t="n"/>
      <c r="AJ16" s="43" t="n"/>
      <c r="AK16" s="43" t="n"/>
      <c r="AL16" s="43" t="n"/>
      <c r="AM16" s="43" t="n"/>
      <c r="AN16" s="43" t="n"/>
      <c r="AO16" s="43" t="n"/>
      <c r="AP16" s="43" t="n"/>
      <c r="AQ16" s="43" t="n"/>
      <c r="AR16" s="43" t="n"/>
      <c r="AS16" s="43" t="n"/>
      <c r="AT16" s="43" t="n"/>
      <c r="AU16" s="43" t="n"/>
      <c r="AV16" s="43" t="n"/>
      <c r="AW16" s="43" t="n"/>
      <c r="AX16" s="43" t="n"/>
      <c r="AY16" s="43" t="n"/>
      <c r="AZ16" s="43" t="n"/>
      <c r="BA16" s="43" t="n"/>
      <c r="BB16" s="43" t="n"/>
      <c r="BC16" s="43" t="n"/>
      <c r="BD16" s="43" t="n"/>
      <c r="BE16" s="43" t="n"/>
      <c r="BF16" s="43" t="n"/>
      <c r="BG16" s="43" t="n"/>
      <c r="BH16" s="43" t="n"/>
      <c r="BI16" s="43" t="n"/>
      <c r="BJ16" s="43" t="n"/>
      <c r="BK16" s="43" t="n"/>
      <c r="BL16" s="43" t="n"/>
      <c r="BM16" s="43" t="n"/>
      <c r="BN16" s="43" t="n"/>
      <c r="BO16" s="43" t="n"/>
      <c r="BP16" s="43" t="n"/>
      <c r="BQ16" s="43" t="n"/>
      <c r="BR16" s="43" t="n"/>
      <c r="BS16" s="43" t="n"/>
      <c r="BT16" s="43" t="n"/>
      <c r="BU16" s="43" t="n"/>
      <c r="BV16" s="43" t="n"/>
      <c r="BW16" s="43" t="n"/>
      <c r="BX16" s="43" t="n"/>
      <c r="BY16" s="43" t="n"/>
      <c r="BZ16" s="43" t="n"/>
      <c r="CA16" s="43" t="n"/>
      <c r="CB16" s="43" t="n"/>
      <c r="CC16" s="43" t="n"/>
      <c r="CD16" s="43" t="n"/>
      <c r="CE16" s="43" t="n"/>
      <c r="CF16" s="43" t="n"/>
      <c r="CG16" s="43" t="n"/>
      <c r="CH16" s="43" t="n"/>
      <c r="CI16" s="43" t="n"/>
      <c r="CJ16" s="43" t="n"/>
      <c r="CK16" s="43" t="n"/>
      <c r="CL16" s="43" t="n"/>
      <c r="CM16" s="43" t="n"/>
      <c r="CN16" s="43" t="n"/>
      <c r="CO16" s="43" t="n"/>
      <c r="CP16" s="43" t="n"/>
      <c r="CQ16" s="43" t="n"/>
      <c r="CR16" s="43" t="n"/>
      <c r="CS16" s="43" t="n"/>
      <c r="CT16" s="43" t="n"/>
      <c r="CU16" s="43" t="n"/>
      <c r="CV16" s="43" t="n"/>
      <c r="CW16" s="43" t="n"/>
      <c r="CX16" s="43" t="n"/>
      <c r="CY16" s="43" t="n"/>
      <c r="CZ16" s="43" t="n"/>
      <c r="DA16" s="43" t="n"/>
      <c r="DB16" s="45">
        <f>IF(C16="","",COUNTA(AI16,AL16,AO16,AR16))</f>
        <v/>
      </c>
      <c r="DC16" s="45">
        <f>IF(C16="","",COUNTA(BM16,BO16,BQ16,BS16,BU16,BW16,BY16,CA16))</f>
        <v/>
      </c>
      <c r="DD16" s="45">
        <f>IF(C16="","",COUNTIF(AV16:BL16,"Yes"))</f>
        <v/>
      </c>
      <c r="DE16" s="45">
        <f>IF(C16="","",COUNTIF(CV16:CZ16,"Yes"))</f>
        <v/>
      </c>
    </row>
    <row r="17">
      <c r="A17" s="43" t="n"/>
      <c r="B17" s="44" t="n"/>
      <c r="C17" s="43" t="n"/>
      <c r="D17" s="43" t="n"/>
      <c r="E17" s="43" t="n"/>
      <c r="F17" s="43" t="n"/>
      <c r="G17" s="44" t="n"/>
      <c r="H17" s="43" t="n"/>
      <c r="I17" s="43" t="n"/>
      <c r="J17" s="43" t="n"/>
      <c r="K17" s="43" t="n"/>
      <c r="L17" s="43" t="n"/>
      <c r="M17" s="43" t="n"/>
      <c r="N17" s="43" t="n"/>
      <c r="O17" s="43" t="n"/>
      <c r="P17" s="43" t="n"/>
      <c r="Q17" s="43" t="n"/>
      <c r="R17" s="43" t="n"/>
      <c r="S17" s="43" t="n"/>
      <c r="T17" s="43" t="n"/>
      <c r="U17" s="43" t="n"/>
      <c r="V17" s="43" t="n"/>
      <c r="W17" s="43" t="n"/>
      <c r="X17" s="43" t="n"/>
      <c r="Y17" s="43" t="n"/>
      <c r="Z17" s="43" t="n"/>
      <c r="AA17" s="43" t="n"/>
      <c r="AB17" s="43" t="n"/>
      <c r="AC17" s="43" t="n"/>
      <c r="AD17" s="43" t="n"/>
      <c r="AE17" s="44" t="n"/>
      <c r="AF17" s="43" t="n"/>
      <c r="AG17" s="43" t="n"/>
      <c r="AH17" s="44" t="n"/>
      <c r="AI17" s="43" t="n"/>
      <c r="AJ17" s="43" t="n"/>
      <c r="AK17" s="43" t="n"/>
      <c r="AL17" s="43" t="n"/>
      <c r="AM17" s="43" t="n"/>
      <c r="AN17" s="43" t="n"/>
      <c r="AO17" s="43" t="n"/>
      <c r="AP17" s="43" t="n"/>
      <c r="AQ17" s="43" t="n"/>
      <c r="AR17" s="43" t="n"/>
      <c r="AS17" s="43" t="n"/>
      <c r="AT17" s="43" t="n"/>
      <c r="AU17" s="43" t="n"/>
      <c r="AV17" s="43" t="n"/>
      <c r="AW17" s="43" t="n"/>
      <c r="AX17" s="43" t="n"/>
      <c r="AY17" s="43" t="n"/>
      <c r="AZ17" s="43" t="n"/>
      <c r="BA17" s="43" t="n"/>
      <c r="BB17" s="43" t="n"/>
      <c r="BC17" s="43" t="n"/>
      <c r="BD17" s="43" t="n"/>
      <c r="BE17" s="43" t="n"/>
      <c r="BF17" s="43" t="n"/>
      <c r="BG17" s="43" t="n"/>
      <c r="BH17" s="43" t="n"/>
      <c r="BI17" s="43" t="n"/>
      <c r="BJ17" s="43" t="n"/>
      <c r="BK17" s="43" t="n"/>
      <c r="BL17" s="43" t="n"/>
      <c r="BM17" s="43" t="n"/>
      <c r="BN17" s="43" t="n"/>
      <c r="BO17" s="43" t="n"/>
      <c r="BP17" s="43" t="n"/>
      <c r="BQ17" s="43" t="n"/>
      <c r="BR17" s="43" t="n"/>
      <c r="BS17" s="43" t="n"/>
      <c r="BT17" s="43" t="n"/>
      <c r="BU17" s="43" t="n"/>
      <c r="BV17" s="43" t="n"/>
      <c r="BW17" s="43" t="n"/>
      <c r="BX17" s="43" t="n"/>
      <c r="BY17" s="43" t="n"/>
      <c r="BZ17" s="43" t="n"/>
      <c r="CA17" s="43" t="n"/>
      <c r="CB17" s="43" t="n"/>
      <c r="CC17" s="43" t="n"/>
      <c r="CD17" s="43" t="n"/>
      <c r="CE17" s="43" t="n"/>
      <c r="CF17" s="43" t="n"/>
      <c r="CG17" s="43" t="n"/>
      <c r="CH17" s="43" t="n"/>
      <c r="CI17" s="43" t="n"/>
      <c r="CJ17" s="43" t="n"/>
      <c r="CK17" s="43" t="n"/>
      <c r="CL17" s="43" t="n"/>
      <c r="CM17" s="43" t="n"/>
      <c r="CN17" s="43" t="n"/>
      <c r="CO17" s="43" t="n"/>
      <c r="CP17" s="43" t="n"/>
      <c r="CQ17" s="43" t="n"/>
      <c r="CR17" s="43" t="n"/>
      <c r="CS17" s="43" t="n"/>
      <c r="CT17" s="43" t="n"/>
      <c r="CU17" s="43" t="n"/>
      <c r="CV17" s="43" t="n"/>
      <c r="CW17" s="43" t="n"/>
      <c r="CX17" s="43" t="n"/>
      <c r="CY17" s="43" t="n"/>
      <c r="CZ17" s="43" t="n"/>
      <c r="DA17" s="43" t="n"/>
      <c r="DB17" s="45">
        <f>IF(C17="","",COUNTA(AI17,AL17,AO17,AR17))</f>
        <v/>
      </c>
      <c r="DC17" s="45">
        <f>IF(C17="","",COUNTA(BM17,BO17,BQ17,BS17,BU17,BW17,BY17,CA17))</f>
        <v/>
      </c>
      <c r="DD17" s="45">
        <f>IF(C17="","",COUNTIF(AV17:BL17,"Yes"))</f>
        <v/>
      </c>
      <c r="DE17" s="45">
        <f>IF(C17="","",COUNTIF(CV17:CZ17,"Yes"))</f>
        <v/>
      </c>
    </row>
    <row r="18">
      <c r="A18" s="43" t="n"/>
      <c r="B18" s="44" t="n"/>
      <c r="C18" s="43" t="n"/>
      <c r="D18" s="43" t="n"/>
      <c r="E18" s="43" t="n"/>
      <c r="F18" s="43" t="n"/>
      <c r="G18" s="44" t="n"/>
      <c r="H18" s="43" t="n"/>
      <c r="I18" s="43" t="n"/>
      <c r="J18" s="43" t="n"/>
      <c r="K18" s="43" t="n"/>
      <c r="L18" s="43" t="n"/>
      <c r="M18" s="43" t="n"/>
      <c r="N18" s="43" t="n"/>
      <c r="O18" s="43" t="n"/>
      <c r="P18" s="43" t="n"/>
      <c r="Q18" s="43" t="n"/>
      <c r="R18" s="43" t="n"/>
      <c r="S18" s="43" t="n"/>
      <c r="T18" s="43" t="n"/>
      <c r="U18" s="43" t="n"/>
      <c r="V18" s="43" t="n"/>
      <c r="W18" s="43" t="n"/>
      <c r="X18" s="43" t="n"/>
      <c r="Y18" s="43" t="n"/>
      <c r="Z18" s="43" t="n"/>
      <c r="AA18" s="43" t="n"/>
      <c r="AB18" s="43" t="n"/>
      <c r="AC18" s="43" t="n"/>
      <c r="AD18" s="43" t="n"/>
      <c r="AE18" s="44" t="n"/>
      <c r="AF18" s="43" t="n"/>
      <c r="AG18" s="43" t="n"/>
      <c r="AH18" s="44" t="n"/>
      <c r="AI18" s="43" t="n"/>
      <c r="AJ18" s="43" t="n"/>
      <c r="AK18" s="43" t="n"/>
      <c r="AL18" s="43" t="n"/>
      <c r="AM18" s="43" t="n"/>
      <c r="AN18" s="43" t="n"/>
      <c r="AO18" s="43" t="n"/>
      <c r="AP18" s="43" t="n"/>
      <c r="AQ18" s="43" t="n"/>
      <c r="AR18" s="43" t="n"/>
      <c r="AS18" s="43" t="n"/>
      <c r="AT18" s="43" t="n"/>
      <c r="AU18" s="43" t="n"/>
      <c r="AV18" s="43" t="n"/>
      <c r="AW18" s="43" t="n"/>
      <c r="AX18" s="43" t="n"/>
      <c r="AY18" s="43" t="n"/>
      <c r="AZ18" s="43" t="n"/>
      <c r="BA18" s="43" t="n"/>
      <c r="BB18" s="43" t="n"/>
      <c r="BC18" s="43" t="n"/>
      <c r="BD18" s="43" t="n"/>
      <c r="BE18" s="43" t="n"/>
      <c r="BF18" s="43" t="n"/>
      <c r="BG18" s="43" t="n"/>
      <c r="BH18" s="43" t="n"/>
      <c r="BI18" s="43" t="n"/>
      <c r="BJ18" s="43" t="n"/>
      <c r="BK18" s="43" t="n"/>
      <c r="BL18" s="43" t="n"/>
      <c r="BM18" s="43" t="n"/>
      <c r="BN18" s="43" t="n"/>
      <c r="BO18" s="43" t="n"/>
      <c r="BP18" s="43" t="n"/>
      <c r="BQ18" s="43" t="n"/>
      <c r="BR18" s="43" t="n"/>
      <c r="BS18" s="43" t="n"/>
      <c r="BT18" s="43" t="n"/>
      <c r="BU18" s="43" t="n"/>
      <c r="BV18" s="43" t="n"/>
      <c r="BW18" s="43" t="n"/>
      <c r="BX18" s="43" t="n"/>
      <c r="BY18" s="43" t="n"/>
      <c r="BZ18" s="43" t="n"/>
      <c r="CA18" s="43" t="n"/>
      <c r="CB18" s="43" t="n"/>
      <c r="CC18" s="43" t="n"/>
      <c r="CD18" s="43" t="n"/>
      <c r="CE18" s="43" t="n"/>
      <c r="CF18" s="43" t="n"/>
      <c r="CG18" s="43" t="n"/>
      <c r="CH18" s="43" t="n"/>
      <c r="CI18" s="43" t="n"/>
      <c r="CJ18" s="43" t="n"/>
      <c r="CK18" s="43" t="n"/>
      <c r="CL18" s="43" t="n"/>
      <c r="CM18" s="43" t="n"/>
      <c r="CN18" s="43" t="n"/>
      <c r="CO18" s="43" t="n"/>
      <c r="CP18" s="43" t="n"/>
      <c r="CQ18" s="43" t="n"/>
      <c r="CR18" s="43" t="n"/>
      <c r="CS18" s="43" t="n"/>
      <c r="CT18" s="43" t="n"/>
      <c r="CU18" s="43" t="n"/>
      <c r="CV18" s="43" t="n"/>
      <c r="CW18" s="43" t="n"/>
      <c r="CX18" s="43" t="n"/>
      <c r="CY18" s="43" t="n"/>
      <c r="CZ18" s="43" t="n"/>
      <c r="DA18" s="43" t="n"/>
      <c r="DB18" s="45">
        <f>IF(C18="","",COUNTA(AI18,AL18,AO18,AR18))</f>
        <v/>
      </c>
      <c r="DC18" s="45">
        <f>IF(C18="","",COUNTA(BM18,BO18,BQ18,BS18,BU18,BW18,BY18,CA18))</f>
        <v/>
      </c>
      <c r="DD18" s="45">
        <f>IF(C18="","",COUNTIF(AV18:BL18,"Yes"))</f>
        <v/>
      </c>
      <c r="DE18" s="45">
        <f>IF(C18="","",COUNTIF(CV18:CZ18,"Yes"))</f>
        <v/>
      </c>
    </row>
    <row r="19">
      <c r="A19" s="43" t="n"/>
      <c r="B19" s="44" t="n"/>
      <c r="C19" s="43" t="n"/>
      <c r="D19" s="43" t="n"/>
      <c r="E19" s="43" t="n"/>
      <c r="F19" s="43" t="n"/>
      <c r="G19" s="44" t="n"/>
      <c r="H19" s="43" t="n"/>
      <c r="I19" s="43" t="n"/>
      <c r="J19" s="43" t="n"/>
      <c r="K19" s="43" t="n"/>
      <c r="L19" s="43" t="n"/>
      <c r="M19" s="43" t="n"/>
      <c r="N19" s="43" t="n"/>
      <c r="O19" s="43" t="n"/>
      <c r="P19" s="43" t="n"/>
      <c r="Q19" s="43" t="n"/>
      <c r="R19" s="43" t="n"/>
      <c r="S19" s="43" t="n"/>
      <c r="T19" s="43" t="n"/>
      <c r="U19" s="43" t="n"/>
      <c r="V19" s="43" t="n"/>
      <c r="W19" s="43" t="n"/>
      <c r="X19" s="43" t="n"/>
      <c r="Y19" s="43" t="n"/>
      <c r="Z19" s="43" t="n"/>
      <c r="AA19" s="43" t="n"/>
      <c r="AB19" s="43" t="n"/>
      <c r="AC19" s="43" t="n"/>
      <c r="AD19" s="43" t="n"/>
      <c r="AE19" s="44" t="n"/>
      <c r="AF19" s="43" t="n"/>
      <c r="AG19" s="43" t="n"/>
      <c r="AH19" s="44" t="n"/>
      <c r="AI19" s="43" t="n"/>
      <c r="AJ19" s="43" t="n"/>
      <c r="AK19" s="43" t="n"/>
      <c r="AL19" s="43" t="n"/>
      <c r="AM19" s="43" t="n"/>
      <c r="AN19" s="43" t="n"/>
      <c r="AO19" s="43" t="n"/>
      <c r="AP19" s="43" t="n"/>
      <c r="AQ19" s="43" t="n"/>
      <c r="AR19" s="43" t="n"/>
      <c r="AS19" s="43" t="n"/>
      <c r="AT19" s="43" t="n"/>
      <c r="AU19" s="43" t="n"/>
      <c r="AV19" s="43" t="n"/>
      <c r="AW19" s="43" t="n"/>
      <c r="AX19" s="43" t="n"/>
      <c r="AY19" s="43" t="n"/>
      <c r="AZ19" s="43" t="n"/>
      <c r="BA19" s="43" t="n"/>
      <c r="BB19" s="43" t="n"/>
      <c r="BC19" s="43" t="n"/>
      <c r="BD19" s="43" t="n"/>
      <c r="BE19" s="43" t="n"/>
      <c r="BF19" s="43" t="n"/>
      <c r="BG19" s="43" t="n"/>
      <c r="BH19" s="43" t="n"/>
      <c r="BI19" s="43" t="n"/>
      <c r="BJ19" s="43" t="n"/>
      <c r="BK19" s="43" t="n"/>
      <c r="BL19" s="43" t="n"/>
      <c r="BM19" s="43" t="n"/>
      <c r="BN19" s="43" t="n"/>
      <c r="BO19" s="43" t="n"/>
      <c r="BP19" s="43" t="n"/>
      <c r="BQ19" s="43" t="n"/>
      <c r="BR19" s="43" t="n"/>
      <c r="BS19" s="43" t="n"/>
      <c r="BT19" s="43" t="n"/>
      <c r="BU19" s="43" t="n"/>
      <c r="BV19" s="43" t="n"/>
      <c r="BW19" s="43" t="n"/>
      <c r="BX19" s="43" t="n"/>
      <c r="BY19" s="43" t="n"/>
      <c r="BZ19" s="43" t="n"/>
      <c r="CA19" s="43" t="n"/>
      <c r="CB19" s="43" t="n"/>
      <c r="CC19" s="43" t="n"/>
      <c r="CD19" s="43" t="n"/>
      <c r="CE19" s="43" t="n"/>
      <c r="CF19" s="43" t="n"/>
      <c r="CG19" s="43" t="n"/>
      <c r="CH19" s="43" t="n"/>
      <c r="CI19" s="43" t="n"/>
      <c r="CJ19" s="43" t="n"/>
      <c r="CK19" s="43" t="n"/>
      <c r="CL19" s="43" t="n"/>
      <c r="CM19" s="43" t="n"/>
      <c r="CN19" s="43" t="n"/>
      <c r="CO19" s="43" t="n"/>
      <c r="CP19" s="43" t="n"/>
      <c r="CQ19" s="43" t="n"/>
      <c r="CR19" s="43" t="n"/>
      <c r="CS19" s="43" t="n"/>
      <c r="CT19" s="43" t="n"/>
      <c r="CU19" s="43" t="n"/>
      <c r="CV19" s="43" t="n"/>
      <c r="CW19" s="43" t="n"/>
      <c r="CX19" s="43" t="n"/>
      <c r="CY19" s="43" t="n"/>
      <c r="CZ19" s="43" t="n"/>
      <c r="DA19" s="43" t="n"/>
      <c r="DB19" s="45">
        <f>IF(C19="","",COUNTA(AI19,AL19,AO19,AR19))</f>
        <v/>
      </c>
      <c r="DC19" s="45">
        <f>IF(C19="","",COUNTA(BM19,BO19,BQ19,BS19,BU19,BW19,BY19,CA19))</f>
        <v/>
      </c>
      <c r="DD19" s="45">
        <f>IF(C19="","",COUNTIF(AV19:BL19,"Yes"))</f>
        <v/>
      </c>
      <c r="DE19" s="45">
        <f>IF(C19="","",COUNTIF(CV19:CZ19,"Yes"))</f>
        <v/>
      </c>
    </row>
    <row r="20">
      <c r="A20" s="43" t="n"/>
      <c r="B20" s="44" t="n"/>
      <c r="C20" s="43" t="n"/>
      <c r="D20" s="43" t="n"/>
      <c r="E20" s="43" t="n"/>
      <c r="F20" s="43" t="n"/>
      <c r="G20" s="44" t="n"/>
      <c r="H20" s="43" t="n"/>
      <c r="I20" s="43" t="n"/>
      <c r="J20" s="43" t="n"/>
      <c r="K20" s="43" t="n"/>
      <c r="L20" s="43" t="n"/>
      <c r="M20" s="43" t="n"/>
      <c r="N20" s="43" t="n"/>
      <c r="O20" s="43" t="n"/>
      <c r="P20" s="43" t="n"/>
      <c r="Q20" s="43" t="n"/>
      <c r="R20" s="43" t="n"/>
      <c r="S20" s="43" t="n"/>
      <c r="T20" s="43" t="n"/>
      <c r="U20" s="43" t="n"/>
      <c r="V20" s="43" t="n"/>
      <c r="W20" s="43" t="n"/>
      <c r="X20" s="43" t="n"/>
      <c r="Y20" s="43" t="n"/>
      <c r="Z20" s="43" t="n"/>
      <c r="AA20" s="43" t="n"/>
      <c r="AB20" s="43" t="n"/>
      <c r="AC20" s="43" t="n"/>
      <c r="AD20" s="43" t="n"/>
      <c r="AE20" s="44" t="n"/>
      <c r="AF20" s="43" t="n"/>
      <c r="AG20" s="43" t="n"/>
      <c r="AH20" s="44" t="n"/>
      <c r="AI20" s="43" t="n"/>
      <c r="AJ20" s="43" t="n"/>
      <c r="AK20" s="43" t="n"/>
      <c r="AL20" s="43" t="n"/>
      <c r="AM20" s="43" t="n"/>
      <c r="AN20" s="43" t="n"/>
      <c r="AO20" s="43" t="n"/>
      <c r="AP20" s="43" t="n"/>
      <c r="AQ20" s="43" t="n"/>
      <c r="AR20" s="43" t="n"/>
      <c r="AS20" s="43" t="n"/>
      <c r="AT20" s="43" t="n"/>
      <c r="AU20" s="43" t="n"/>
      <c r="AV20" s="43" t="n"/>
      <c r="AW20" s="43" t="n"/>
      <c r="AX20" s="43" t="n"/>
      <c r="AY20" s="43" t="n"/>
      <c r="AZ20" s="43" t="n"/>
      <c r="BA20" s="43" t="n"/>
      <c r="BB20" s="43" t="n"/>
      <c r="BC20" s="43" t="n"/>
      <c r="BD20" s="43" t="n"/>
      <c r="BE20" s="43" t="n"/>
      <c r="BF20" s="43" t="n"/>
      <c r="BG20" s="43" t="n"/>
      <c r="BH20" s="43" t="n"/>
      <c r="BI20" s="43" t="n"/>
      <c r="BJ20" s="43" t="n"/>
      <c r="BK20" s="43" t="n"/>
      <c r="BL20" s="43" t="n"/>
      <c r="BM20" s="43" t="n"/>
      <c r="BN20" s="43" t="n"/>
      <c r="BO20" s="43" t="n"/>
      <c r="BP20" s="43" t="n"/>
      <c r="BQ20" s="43" t="n"/>
      <c r="BR20" s="43" t="n"/>
      <c r="BS20" s="43" t="n"/>
      <c r="BT20" s="43" t="n"/>
      <c r="BU20" s="43" t="n"/>
      <c r="BV20" s="43" t="n"/>
      <c r="BW20" s="43" t="n"/>
      <c r="BX20" s="43" t="n"/>
      <c r="BY20" s="43" t="n"/>
      <c r="BZ20" s="43" t="n"/>
      <c r="CA20" s="43" t="n"/>
      <c r="CB20" s="43" t="n"/>
      <c r="CC20" s="43" t="n"/>
      <c r="CD20" s="43" t="n"/>
      <c r="CE20" s="43" t="n"/>
      <c r="CF20" s="43" t="n"/>
      <c r="CG20" s="43" t="n"/>
      <c r="CH20" s="43" t="n"/>
      <c r="CI20" s="43" t="n"/>
      <c r="CJ20" s="43" t="n"/>
      <c r="CK20" s="43" t="n"/>
      <c r="CL20" s="43" t="n"/>
      <c r="CM20" s="43" t="n"/>
      <c r="CN20" s="43" t="n"/>
      <c r="CO20" s="43" t="n"/>
      <c r="CP20" s="43" t="n"/>
      <c r="CQ20" s="43" t="n"/>
      <c r="CR20" s="43" t="n"/>
      <c r="CS20" s="43" t="n"/>
      <c r="CT20" s="43" t="n"/>
      <c r="CU20" s="43" t="n"/>
      <c r="CV20" s="43" t="n"/>
      <c r="CW20" s="43" t="n"/>
      <c r="CX20" s="43" t="n"/>
      <c r="CY20" s="43" t="n"/>
      <c r="CZ20" s="43" t="n"/>
      <c r="DA20" s="43" t="n"/>
      <c r="DB20" s="45">
        <f>IF(C20="","",COUNTA(AI20,AL20,AO20,AR20))</f>
        <v/>
      </c>
      <c r="DC20" s="45">
        <f>IF(C20="","",COUNTA(BM20,BO20,BQ20,BS20,BU20,BW20,BY20,CA20))</f>
        <v/>
      </c>
      <c r="DD20" s="45">
        <f>IF(C20="","",COUNTIF(AV20:BL20,"Yes"))</f>
        <v/>
      </c>
      <c r="DE20" s="45">
        <f>IF(C20="","",COUNTIF(CV20:CZ20,"Yes"))</f>
        <v/>
      </c>
    </row>
    <row r="21">
      <c r="A21" s="43" t="n"/>
      <c r="B21" s="44" t="n"/>
      <c r="C21" s="43" t="n"/>
      <c r="D21" s="43" t="n"/>
      <c r="E21" s="43" t="n"/>
      <c r="F21" s="43" t="n"/>
      <c r="G21" s="44" t="n"/>
      <c r="H21" s="43" t="n"/>
      <c r="I21" s="43" t="n"/>
      <c r="J21" s="43" t="n"/>
      <c r="K21" s="43" t="n"/>
      <c r="L21" s="43" t="n"/>
      <c r="M21" s="43" t="n"/>
      <c r="N21" s="43" t="n"/>
      <c r="O21" s="43" t="n"/>
      <c r="P21" s="43" t="n"/>
      <c r="Q21" s="43" t="n"/>
      <c r="R21" s="43" t="n"/>
      <c r="S21" s="43" t="n"/>
      <c r="T21" s="43" t="n"/>
      <c r="U21" s="43" t="n"/>
      <c r="V21" s="43" t="n"/>
      <c r="W21" s="43" t="n"/>
      <c r="X21" s="43" t="n"/>
      <c r="Y21" s="43" t="n"/>
      <c r="Z21" s="43" t="n"/>
      <c r="AA21" s="43" t="n"/>
      <c r="AB21" s="43" t="n"/>
      <c r="AC21" s="43" t="n"/>
      <c r="AD21" s="43" t="n"/>
      <c r="AE21" s="44" t="n"/>
      <c r="AF21" s="43" t="n"/>
      <c r="AG21" s="43" t="n"/>
      <c r="AH21" s="44" t="n"/>
      <c r="AI21" s="43" t="n"/>
      <c r="AJ21" s="43" t="n"/>
      <c r="AK21" s="43" t="n"/>
      <c r="AL21" s="43" t="n"/>
      <c r="AM21" s="43" t="n"/>
      <c r="AN21" s="43" t="n"/>
      <c r="AO21" s="43" t="n"/>
      <c r="AP21" s="43" t="n"/>
      <c r="AQ21" s="43" t="n"/>
      <c r="AR21" s="43" t="n"/>
      <c r="AS21" s="43" t="n"/>
      <c r="AT21" s="43" t="n"/>
      <c r="AU21" s="43" t="n"/>
      <c r="AV21" s="43" t="n"/>
      <c r="AW21" s="43" t="n"/>
      <c r="AX21" s="43" t="n"/>
      <c r="AY21" s="43" t="n"/>
      <c r="AZ21" s="43" t="n"/>
      <c r="BA21" s="43" t="n"/>
      <c r="BB21" s="43" t="n"/>
      <c r="BC21" s="43" t="n"/>
      <c r="BD21" s="43" t="n"/>
      <c r="BE21" s="43" t="n"/>
      <c r="BF21" s="43" t="n"/>
      <c r="BG21" s="43" t="n"/>
      <c r="BH21" s="43" t="n"/>
      <c r="BI21" s="43" t="n"/>
      <c r="BJ21" s="43" t="n"/>
      <c r="BK21" s="43" t="n"/>
      <c r="BL21" s="43" t="n"/>
      <c r="BM21" s="43" t="n"/>
      <c r="BN21" s="43" t="n"/>
      <c r="BO21" s="43" t="n"/>
      <c r="BP21" s="43" t="n"/>
      <c r="BQ21" s="43" t="n"/>
      <c r="BR21" s="43" t="n"/>
      <c r="BS21" s="43" t="n"/>
      <c r="BT21" s="43" t="n"/>
      <c r="BU21" s="43" t="n"/>
      <c r="BV21" s="43" t="n"/>
      <c r="BW21" s="43" t="n"/>
      <c r="BX21" s="43" t="n"/>
      <c r="BY21" s="43" t="n"/>
      <c r="BZ21" s="43" t="n"/>
      <c r="CA21" s="43" t="n"/>
      <c r="CB21" s="43" t="n"/>
      <c r="CC21" s="43" t="n"/>
      <c r="CD21" s="43" t="n"/>
      <c r="CE21" s="43" t="n"/>
      <c r="CF21" s="43" t="n"/>
      <c r="CG21" s="43" t="n"/>
      <c r="CH21" s="43" t="n"/>
      <c r="CI21" s="43" t="n"/>
      <c r="CJ21" s="43" t="n"/>
      <c r="CK21" s="43" t="n"/>
      <c r="CL21" s="43" t="n"/>
      <c r="CM21" s="43" t="n"/>
      <c r="CN21" s="43" t="n"/>
      <c r="CO21" s="43" t="n"/>
      <c r="CP21" s="43" t="n"/>
      <c r="CQ21" s="43" t="n"/>
      <c r="CR21" s="43" t="n"/>
      <c r="CS21" s="43" t="n"/>
      <c r="CT21" s="43" t="n"/>
      <c r="CU21" s="43" t="n"/>
      <c r="CV21" s="43" t="n"/>
      <c r="CW21" s="43" t="n"/>
      <c r="CX21" s="43" t="n"/>
      <c r="CY21" s="43" t="n"/>
      <c r="CZ21" s="43" t="n"/>
      <c r="DA21" s="43" t="n"/>
      <c r="DB21" s="45">
        <f>IF(C21="","",COUNTA(AI21,AL21,AO21,AR21))</f>
        <v/>
      </c>
      <c r="DC21" s="45">
        <f>IF(C21="","",COUNTA(BM21,BO21,BQ21,BS21,BU21,BW21,BY21,CA21))</f>
        <v/>
      </c>
      <c r="DD21" s="45">
        <f>IF(C21="","",COUNTIF(AV21:BL21,"Yes"))</f>
        <v/>
      </c>
      <c r="DE21" s="45">
        <f>IF(C21="","",COUNTIF(CV21:CZ21,"Yes"))</f>
        <v/>
      </c>
    </row>
    <row r="22">
      <c r="A22" s="43" t="n"/>
      <c r="B22" s="44" t="n"/>
      <c r="C22" s="43" t="n"/>
      <c r="D22" s="43" t="n"/>
      <c r="E22" s="43" t="n"/>
      <c r="F22" s="43" t="n"/>
      <c r="G22" s="44" t="n"/>
      <c r="H22" s="43" t="n"/>
      <c r="I22" s="43" t="n"/>
      <c r="J22" s="43" t="n"/>
      <c r="K22" s="43" t="n"/>
      <c r="L22" s="43" t="n"/>
      <c r="M22" s="43" t="n"/>
      <c r="N22" s="43" t="n"/>
      <c r="O22" s="43" t="n"/>
      <c r="P22" s="43" t="n"/>
      <c r="Q22" s="43" t="n"/>
      <c r="R22" s="43" t="n"/>
      <c r="S22" s="43" t="n"/>
      <c r="T22" s="43" t="n"/>
      <c r="U22" s="43" t="n"/>
      <c r="V22" s="43" t="n"/>
      <c r="W22" s="43" t="n"/>
      <c r="X22" s="43" t="n"/>
      <c r="Y22" s="43" t="n"/>
      <c r="Z22" s="43" t="n"/>
      <c r="AA22" s="43" t="n"/>
      <c r="AB22" s="43" t="n"/>
      <c r="AC22" s="43" t="n"/>
      <c r="AD22" s="43" t="n"/>
      <c r="AE22" s="44" t="n"/>
      <c r="AF22" s="43" t="n"/>
      <c r="AG22" s="43" t="n"/>
      <c r="AH22" s="44" t="n"/>
      <c r="AI22" s="43" t="n"/>
      <c r="AJ22" s="43" t="n"/>
      <c r="AK22" s="43" t="n"/>
      <c r="AL22" s="43" t="n"/>
      <c r="AM22" s="43" t="n"/>
      <c r="AN22" s="43" t="n"/>
      <c r="AO22" s="43" t="n"/>
      <c r="AP22" s="43" t="n"/>
      <c r="AQ22" s="43" t="n"/>
      <c r="AR22" s="43" t="n"/>
      <c r="AS22" s="43" t="n"/>
      <c r="AT22" s="43" t="n"/>
      <c r="AU22" s="43" t="n"/>
      <c r="AV22" s="43" t="n"/>
      <c r="AW22" s="43" t="n"/>
      <c r="AX22" s="43" t="n"/>
      <c r="AY22" s="43" t="n"/>
      <c r="AZ22" s="43" t="n"/>
      <c r="BA22" s="43" t="n"/>
      <c r="BB22" s="43" t="n"/>
      <c r="BC22" s="43" t="n"/>
      <c r="BD22" s="43" t="n"/>
      <c r="BE22" s="43" t="n"/>
      <c r="BF22" s="43" t="n"/>
      <c r="BG22" s="43" t="n"/>
      <c r="BH22" s="43" t="n"/>
      <c r="BI22" s="43" t="n"/>
      <c r="BJ22" s="43" t="n"/>
      <c r="BK22" s="43" t="n"/>
      <c r="BL22" s="43" t="n"/>
      <c r="BM22" s="43" t="n"/>
      <c r="BN22" s="43" t="n"/>
      <c r="BO22" s="43" t="n"/>
      <c r="BP22" s="43" t="n"/>
      <c r="BQ22" s="43" t="n"/>
      <c r="BR22" s="43" t="n"/>
      <c r="BS22" s="43" t="n"/>
      <c r="BT22" s="43" t="n"/>
      <c r="BU22" s="43" t="n"/>
      <c r="BV22" s="43" t="n"/>
      <c r="BW22" s="43" t="n"/>
      <c r="BX22" s="43" t="n"/>
      <c r="BY22" s="43" t="n"/>
      <c r="BZ22" s="43" t="n"/>
      <c r="CA22" s="43" t="n"/>
      <c r="CB22" s="43" t="n"/>
      <c r="CC22" s="43" t="n"/>
      <c r="CD22" s="43" t="n"/>
      <c r="CE22" s="43" t="n"/>
      <c r="CF22" s="43" t="n"/>
      <c r="CG22" s="43" t="n"/>
      <c r="CH22" s="43" t="n"/>
      <c r="CI22" s="43" t="n"/>
      <c r="CJ22" s="43" t="n"/>
      <c r="CK22" s="43" t="n"/>
      <c r="CL22" s="43" t="n"/>
      <c r="CM22" s="43" t="n"/>
      <c r="CN22" s="43" t="n"/>
      <c r="CO22" s="43" t="n"/>
      <c r="CP22" s="43" t="n"/>
      <c r="CQ22" s="43" t="n"/>
      <c r="CR22" s="43" t="n"/>
      <c r="CS22" s="43" t="n"/>
      <c r="CT22" s="43" t="n"/>
      <c r="CU22" s="43" t="n"/>
      <c r="CV22" s="43" t="n"/>
      <c r="CW22" s="43" t="n"/>
      <c r="CX22" s="43" t="n"/>
      <c r="CY22" s="43" t="n"/>
      <c r="CZ22" s="43" t="n"/>
      <c r="DA22" s="43" t="n"/>
      <c r="DB22" s="45">
        <f>IF(C22="","",COUNTA(AI22,AL22,AO22,AR22))</f>
        <v/>
      </c>
      <c r="DC22" s="45">
        <f>IF(C22="","",COUNTA(BM22,BO22,BQ22,BS22,BU22,BW22,BY22,CA22))</f>
        <v/>
      </c>
      <c r="DD22" s="45">
        <f>IF(C22="","",COUNTIF(AV22:BL22,"Yes"))</f>
        <v/>
      </c>
      <c r="DE22" s="45">
        <f>IF(C22="","",COUNTIF(CV22:CZ22,"Yes"))</f>
        <v/>
      </c>
    </row>
    <row r="23">
      <c r="A23" s="43" t="n"/>
      <c r="B23" s="44" t="n"/>
      <c r="C23" s="43" t="n"/>
      <c r="D23" s="43" t="n"/>
      <c r="E23" s="43" t="n"/>
      <c r="F23" s="43" t="n"/>
      <c r="G23" s="44" t="n"/>
      <c r="H23" s="43" t="n"/>
      <c r="I23" s="43" t="n"/>
      <c r="J23" s="43" t="n"/>
      <c r="K23" s="43" t="n"/>
      <c r="L23" s="43" t="n"/>
      <c r="M23" s="43" t="n"/>
      <c r="N23" s="43" t="n"/>
      <c r="O23" s="43" t="n"/>
      <c r="P23" s="43" t="n"/>
      <c r="Q23" s="43" t="n"/>
      <c r="R23" s="43" t="n"/>
      <c r="S23" s="43" t="n"/>
      <c r="T23" s="43" t="n"/>
      <c r="U23" s="43" t="n"/>
      <c r="V23" s="43" t="n"/>
      <c r="W23" s="43" t="n"/>
      <c r="X23" s="43" t="n"/>
      <c r="Y23" s="43" t="n"/>
      <c r="Z23" s="43" t="n"/>
      <c r="AA23" s="43" t="n"/>
      <c r="AB23" s="43" t="n"/>
      <c r="AC23" s="43" t="n"/>
      <c r="AD23" s="43" t="n"/>
      <c r="AE23" s="44" t="n"/>
      <c r="AF23" s="43" t="n"/>
      <c r="AG23" s="43" t="n"/>
      <c r="AH23" s="44" t="n"/>
      <c r="AI23" s="43" t="n"/>
      <c r="AJ23" s="43" t="n"/>
      <c r="AK23" s="43" t="n"/>
      <c r="AL23" s="43" t="n"/>
      <c r="AM23" s="43" t="n"/>
      <c r="AN23" s="43" t="n"/>
      <c r="AO23" s="43" t="n"/>
      <c r="AP23" s="43" t="n"/>
      <c r="AQ23" s="43" t="n"/>
      <c r="AR23" s="43" t="n"/>
      <c r="AS23" s="43" t="n"/>
      <c r="AT23" s="43" t="n"/>
      <c r="AU23" s="43" t="n"/>
      <c r="AV23" s="43" t="n"/>
      <c r="AW23" s="43" t="n"/>
      <c r="AX23" s="43" t="n"/>
      <c r="AY23" s="43" t="n"/>
      <c r="AZ23" s="43" t="n"/>
      <c r="BA23" s="43" t="n"/>
      <c r="BB23" s="43" t="n"/>
      <c r="BC23" s="43" t="n"/>
      <c r="BD23" s="43" t="n"/>
      <c r="BE23" s="43" t="n"/>
      <c r="BF23" s="43" t="n"/>
      <c r="BG23" s="43" t="n"/>
      <c r="BH23" s="43" t="n"/>
      <c r="BI23" s="43" t="n"/>
      <c r="BJ23" s="43" t="n"/>
      <c r="BK23" s="43" t="n"/>
      <c r="BL23" s="43" t="n"/>
      <c r="BM23" s="43" t="n"/>
      <c r="BN23" s="43" t="n"/>
      <c r="BO23" s="43" t="n"/>
      <c r="BP23" s="43" t="n"/>
      <c r="BQ23" s="43" t="n"/>
      <c r="BR23" s="43" t="n"/>
      <c r="BS23" s="43" t="n"/>
      <c r="BT23" s="43" t="n"/>
      <c r="BU23" s="43" t="n"/>
      <c r="BV23" s="43" t="n"/>
      <c r="BW23" s="43" t="n"/>
      <c r="BX23" s="43" t="n"/>
      <c r="BY23" s="43" t="n"/>
      <c r="BZ23" s="43" t="n"/>
      <c r="CA23" s="43" t="n"/>
      <c r="CB23" s="43" t="n"/>
      <c r="CC23" s="43" t="n"/>
      <c r="CD23" s="43" t="n"/>
      <c r="CE23" s="43" t="n"/>
      <c r="CF23" s="43" t="n"/>
      <c r="CG23" s="43" t="n"/>
      <c r="CH23" s="43" t="n"/>
      <c r="CI23" s="43" t="n"/>
      <c r="CJ23" s="43" t="n"/>
      <c r="CK23" s="43" t="n"/>
      <c r="CL23" s="43" t="n"/>
      <c r="CM23" s="43" t="n"/>
      <c r="CN23" s="43" t="n"/>
      <c r="CO23" s="43" t="n"/>
      <c r="CP23" s="43" t="n"/>
      <c r="CQ23" s="43" t="n"/>
      <c r="CR23" s="43" t="n"/>
      <c r="CS23" s="43" t="n"/>
      <c r="CT23" s="43" t="n"/>
      <c r="CU23" s="43" t="n"/>
      <c r="CV23" s="43" t="n"/>
      <c r="CW23" s="43" t="n"/>
      <c r="CX23" s="43" t="n"/>
      <c r="CY23" s="43" t="n"/>
      <c r="CZ23" s="43" t="n"/>
      <c r="DA23" s="43" t="n"/>
      <c r="DB23" s="45">
        <f>IF(C23="","",COUNTA(AI23,AL23,AO23,AR23))</f>
        <v/>
      </c>
      <c r="DC23" s="45">
        <f>IF(C23="","",COUNTA(BM23,BO23,BQ23,BS23,BU23,BW23,BY23,CA23))</f>
        <v/>
      </c>
      <c r="DD23" s="45">
        <f>IF(C23="","",COUNTIF(AV23:BL23,"Yes"))</f>
        <v/>
      </c>
      <c r="DE23" s="45">
        <f>IF(C23="","",COUNTIF(CV23:CZ23,"Yes"))</f>
        <v/>
      </c>
    </row>
    <row r="24">
      <c r="A24" s="43" t="n"/>
      <c r="B24" s="44" t="n"/>
      <c r="C24" s="43" t="n"/>
      <c r="D24" s="43" t="n"/>
      <c r="E24" s="43" t="n"/>
      <c r="F24" s="43" t="n"/>
      <c r="G24" s="44" t="n"/>
      <c r="H24" s="43" t="n"/>
      <c r="I24" s="43" t="n"/>
      <c r="J24" s="43" t="n"/>
      <c r="K24" s="43" t="n"/>
      <c r="L24" s="43" t="n"/>
      <c r="M24" s="43" t="n"/>
      <c r="N24" s="43" t="n"/>
      <c r="O24" s="43" t="n"/>
      <c r="P24" s="43" t="n"/>
      <c r="Q24" s="43" t="n"/>
      <c r="R24" s="43" t="n"/>
      <c r="S24" s="43" t="n"/>
      <c r="T24" s="43" t="n"/>
      <c r="U24" s="43" t="n"/>
      <c r="V24" s="43" t="n"/>
      <c r="W24" s="43" t="n"/>
      <c r="X24" s="43" t="n"/>
      <c r="Y24" s="43" t="n"/>
      <c r="Z24" s="43" t="n"/>
      <c r="AA24" s="43" t="n"/>
      <c r="AB24" s="43" t="n"/>
      <c r="AC24" s="43" t="n"/>
      <c r="AD24" s="43" t="n"/>
      <c r="AE24" s="44" t="n"/>
      <c r="AF24" s="43" t="n"/>
      <c r="AG24" s="43" t="n"/>
      <c r="AH24" s="44" t="n"/>
      <c r="AI24" s="43" t="n"/>
      <c r="AJ24" s="43" t="n"/>
      <c r="AK24" s="43" t="n"/>
      <c r="AL24" s="43" t="n"/>
      <c r="AM24" s="43" t="n"/>
      <c r="AN24" s="43" t="n"/>
      <c r="AO24" s="43" t="n"/>
      <c r="AP24" s="43" t="n"/>
      <c r="AQ24" s="43" t="n"/>
      <c r="AR24" s="43" t="n"/>
      <c r="AS24" s="43" t="n"/>
      <c r="AT24" s="43" t="n"/>
      <c r="AU24" s="43" t="n"/>
      <c r="AV24" s="43" t="n"/>
      <c r="AW24" s="43" t="n"/>
      <c r="AX24" s="43" t="n"/>
      <c r="AY24" s="43" t="n"/>
      <c r="AZ24" s="43" t="n"/>
      <c r="BA24" s="43" t="n"/>
      <c r="BB24" s="43" t="n"/>
      <c r="BC24" s="43" t="n"/>
      <c r="BD24" s="43" t="n"/>
      <c r="BE24" s="43" t="n"/>
      <c r="BF24" s="43" t="n"/>
      <c r="BG24" s="43" t="n"/>
      <c r="BH24" s="43" t="n"/>
      <c r="BI24" s="43" t="n"/>
      <c r="BJ24" s="43" t="n"/>
      <c r="BK24" s="43" t="n"/>
      <c r="BL24" s="43" t="n"/>
      <c r="BM24" s="43" t="n"/>
      <c r="BN24" s="43" t="n"/>
      <c r="BO24" s="43" t="n"/>
      <c r="BP24" s="43" t="n"/>
      <c r="BQ24" s="43" t="n"/>
      <c r="BR24" s="43" t="n"/>
      <c r="BS24" s="43" t="n"/>
      <c r="BT24" s="43" t="n"/>
      <c r="BU24" s="43" t="n"/>
      <c r="BV24" s="43" t="n"/>
      <c r="BW24" s="43" t="n"/>
      <c r="BX24" s="43" t="n"/>
      <c r="BY24" s="43" t="n"/>
      <c r="BZ24" s="43" t="n"/>
      <c r="CA24" s="43" t="n"/>
      <c r="CB24" s="43" t="n"/>
      <c r="CC24" s="43" t="n"/>
      <c r="CD24" s="43" t="n"/>
      <c r="CE24" s="43" t="n"/>
      <c r="CF24" s="43" t="n"/>
      <c r="CG24" s="43" t="n"/>
      <c r="CH24" s="43" t="n"/>
      <c r="CI24" s="43" t="n"/>
      <c r="CJ24" s="43" t="n"/>
      <c r="CK24" s="43" t="n"/>
      <c r="CL24" s="43" t="n"/>
      <c r="CM24" s="43" t="n"/>
      <c r="CN24" s="43" t="n"/>
      <c r="CO24" s="43" t="n"/>
      <c r="CP24" s="43" t="n"/>
      <c r="CQ24" s="43" t="n"/>
      <c r="CR24" s="43" t="n"/>
      <c r="CS24" s="43" t="n"/>
      <c r="CT24" s="43" t="n"/>
      <c r="CU24" s="43" t="n"/>
      <c r="CV24" s="43" t="n"/>
      <c r="CW24" s="43" t="n"/>
      <c r="CX24" s="43" t="n"/>
      <c r="CY24" s="43" t="n"/>
      <c r="CZ24" s="43" t="n"/>
      <c r="DA24" s="43" t="n"/>
      <c r="DB24" s="45">
        <f>IF(C24="","",COUNTA(AI24,AL24,AO24,AR24))</f>
        <v/>
      </c>
      <c r="DC24" s="45">
        <f>IF(C24="","",COUNTA(BM24,BO24,BQ24,BS24,BU24,BW24,BY24,CA24))</f>
        <v/>
      </c>
      <c r="DD24" s="45">
        <f>IF(C24="","",COUNTIF(AV24:BL24,"Yes"))</f>
        <v/>
      </c>
      <c r="DE24" s="45">
        <f>IF(C24="","",COUNTIF(CV24:CZ24,"Yes"))</f>
        <v/>
      </c>
    </row>
    <row r="25">
      <c r="A25" s="43" t="n"/>
      <c r="B25" s="44" t="n"/>
      <c r="C25" s="43" t="n"/>
      <c r="D25" s="43" t="n"/>
      <c r="E25" s="43" t="n"/>
      <c r="F25" s="43" t="n"/>
      <c r="G25" s="44" t="n"/>
      <c r="H25" s="43" t="n"/>
      <c r="I25" s="43" t="n"/>
      <c r="J25" s="43" t="n"/>
      <c r="K25" s="43" t="n"/>
      <c r="L25" s="43" t="n"/>
      <c r="M25" s="43" t="n"/>
      <c r="N25" s="43" t="n"/>
      <c r="O25" s="43" t="n"/>
      <c r="P25" s="43" t="n"/>
      <c r="Q25" s="43" t="n"/>
      <c r="R25" s="43" t="n"/>
      <c r="S25" s="43" t="n"/>
      <c r="T25" s="43" t="n"/>
      <c r="U25" s="43" t="n"/>
      <c r="V25" s="43" t="n"/>
      <c r="W25" s="43" t="n"/>
      <c r="X25" s="43" t="n"/>
      <c r="Y25" s="43" t="n"/>
      <c r="Z25" s="43" t="n"/>
      <c r="AA25" s="43" t="n"/>
      <c r="AB25" s="43" t="n"/>
      <c r="AC25" s="43" t="n"/>
      <c r="AD25" s="43" t="n"/>
      <c r="AE25" s="44" t="n"/>
      <c r="AF25" s="43" t="n"/>
      <c r="AG25" s="43" t="n"/>
      <c r="AH25" s="44" t="n"/>
      <c r="AI25" s="43" t="n"/>
      <c r="AJ25" s="43" t="n"/>
      <c r="AK25" s="43" t="n"/>
      <c r="AL25" s="43" t="n"/>
      <c r="AM25" s="43" t="n"/>
      <c r="AN25" s="43" t="n"/>
      <c r="AO25" s="43" t="n"/>
      <c r="AP25" s="43" t="n"/>
      <c r="AQ25" s="43" t="n"/>
      <c r="AR25" s="43" t="n"/>
      <c r="AS25" s="43" t="n"/>
      <c r="AT25" s="43" t="n"/>
      <c r="AU25" s="43" t="n"/>
      <c r="AV25" s="43" t="n"/>
      <c r="AW25" s="43" t="n"/>
      <c r="AX25" s="43" t="n"/>
      <c r="AY25" s="43" t="n"/>
      <c r="AZ25" s="43" t="n"/>
      <c r="BA25" s="43" t="n"/>
      <c r="BB25" s="43" t="n"/>
      <c r="BC25" s="43" t="n"/>
      <c r="BD25" s="43" t="n"/>
      <c r="BE25" s="43" t="n"/>
      <c r="BF25" s="43" t="n"/>
      <c r="BG25" s="43" t="n"/>
      <c r="BH25" s="43" t="n"/>
      <c r="BI25" s="43" t="n"/>
      <c r="BJ25" s="43" t="n"/>
      <c r="BK25" s="43" t="n"/>
      <c r="BL25" s="43" t="n"/>
      <c r="BM25" s="43" t="n"/>
      <c r="BN25" s="43" t="n"/>
      <c r="BO25" s="43" t="n"/>
      <c r="BP25" s="43" t="n"/>
      <c r="BQ25" s="43" t="n"/>
      <c r="BR25" s="43" t="n"/>
      <c r="BS25" s="43" t="n"/>
      <c r="BT25" s="43" t="n"/>
      <c r="BU25" s="43" t="n"/>
      <c r="BV25" s="43" t="n"/>
      <c r="BW25" s="43" t="n"/>
      <c r="BX25" s="43" t="n"/>
      <c r="BY25" s="43" t="n"/>
      <c r="BZ25" s="43" t="n"/>
      <c r="CA25" s="43" t="n"/>
      <c r="CB25" s="43" t="n"/>
      <c r="CC25" s="43" t="n"/>
      <c r="CD25" s="43" t="n"/>
      <c r="CE25" s="43" t="n"/>
      <c r="CF25" s="43" t="n"/>
      <c r="CG25" s="43" t="n"/>
      <c r="CH25" s="43" t="n"/>
      <c r="CI25" s="43" t="n"/>
      <c r="CJ25" s="43" t="n"/>
      <c r="CK25" s="43" t="n"/>
      <c r="CL25" s="43" t="n"/>
      <c r="CM25" s="43" t="n"/>
      <c r="CN25" s="43" t="n"/>
      <c r="CO25" s="43" t="n"/>
      <c r="CP25" s="43" t="n"/>
      <c r="CQ25" s="43" t="n"/>
      <c r="CR25" s="43" t="n"/>
      <c r="CS25" s="43" t="n"/>
      <c r="CT25" s="43" t="n"/>
      <c r="CU25" s="43" t="n"/>
      <c r="CV25" s="43" t="n"/>
      <c r="CW25" s="43" t="n"/>
      <c r="CX25" s="43" t="n"/>
      <c r="CY25" s="43" t="n"/>
      <c r="CZ25" s="43" t="n"/>
      <c r="DA25" s="43" t="n"/>
      <c r="DB25" s="45">
        <f>IF(C25="","",COUNTA(AI25,AL25,AO25,AR25))</f>
        <v/>
      </c>
      <c r="DC25" s="45">
        <f>IF(C25="","",COUNTA(BM25,BO25,BQ25,BS25,BU25,BW25,BY25,CA25))</f>
        <v/>
      </c>
      <c r="DD25" s="45">
        <f>IF(C25="","",COUNTIF(AV25:BL25,"Yes"))</f>
        <v/>
      </c>
      <c r="DE25" s="45">
        <f>IF(C25="","",COUNTIF(CV25:CZ25,"Yes"))</f>
        <v/>
      </c>
    </row>
    <row r="26">
      <c r="A26" s="43" t="n"/>
      <c r="B26" s="44" t="n"/>
      <c r="C26" s="43" t="n"/>
      <c r="D26" s="43" t="n"/>
      <c r="E26" s="43" t="n"/>
      <c r="F26" s="43" t="n"/>
      <c r="G26" s="44" t="n"/>
      <c r="H26" s="43" t="n"/>
      <c r="I26" s="43" t="n"/>
      <c r="J26" s="43" t="n"/>
      <c r="K26" s="43" t="n"/>
      <c r="L26" s="43" t="n"/>
      <c r="M26" s="43" t="n"/>
      <c r="N26" s="43" t="n"/>
      <c r="O26" s="43" t="n"/>
      <c r="P26" s="43" t="n"/>
      <c r="Q26" s="43" t="n"/>
      <c r="R26" s="43" t="n"/>
      <c r="S26" s="43" t="n"/>
      <c r="T26" s="43" t="n"/>
      <c r="U26" s="43" t="n"/>
      <c r="V26" s="43" t="n"/>
      <c r="W26" s="43" t="n"/>
      <c r="X26" s="43" t="n"/>
      <c r="Y26" s="43" t="n"/>
      <c r="Z26" s="43" t="n"/>
      <c r="AA26" s="43" t="n"/>
      <c r="AB26" s="43" t="n"/>
      <c r="AC26" s="43" t="n"/>
      <c r="AD26" s="43" t="n"/>
      <c r="AE26" s="44" t="n"/>
      <c r="AF26" s="43" t="n"/>
      <c r="AG26" s="43" t="n"/>
      <c r="AH26" s="44" t="n"/>
      <c r="AI26" s="43" t="n"/>
      <c r="AJ26" s="43" t="n"/>
      <c r="AK26" s="43" t="n"/>
      <c r="AL26" s="43" t="n"/>
      <c r="AM26" s="43" t="n"/>
      <c r="AN26" s="43" t="n"/>
      <c r="AO26" s="43" t="n"/>
      <c r="AP26" s="43" t="n"/>
      <c r="AQ26" s="43" t="n"/>
      <c r="AR26" s="43" t="n"/>
      <c r="AS26" s="43" t="n"/>
      <c r="AT26" s="43" t="n"/>
      <c r="AU26" s="43" t="n"/>
      <c r="AV26" s="43" t="n"/>
      <c r="AW26" s="43" t="n"/>
      <c r="AX26" s="43" t="n"/>
      <c r="AY26" s="43" t="n"/>
      <c r="AZ26" s="43" t="n"/>
      <c r="BA26" s="43" t="n"/>
      <c r="BB26" s="43" t="n"/>
      <c r="BC26" s="43" t="n"/>
      <c r="BD26" s="43" t="n"/>
      <c r="BE26" s="43" t="n"/>
      <c r="BF26" s="43" t="n"/>
      <c r="BG26" s="43" t="n"/>
      <c r="BH26" s="43" t="n"/>
      <c r="BI26" s="43" t="n"/>
      <c r="BJ26" s="43" t="n"/>
      <c r="BK26" s="43" t="n"/>
      <c r="BL26" s="43" t="n"/>
      <c r="BM26" s="43" t="n"/>
      <c r="BN26" s="43" t="n"/>
      <c r="BO26" s="43" t="n"/>
      <c r="BP26" s="43" t="n"/>
      <c r="BQ26" s="43" t="n"/>
      <c r="BR26" s="43" t="n"/>
      <c r="BS26" s="43" t="n"/>
      <c r="BT26" s="43" t="n"/>
      <c r="BU26" s="43" t="n"/>
      <c r="BV26" s="43" t="n"/>
      <c r="BW26" s="43" t="n"/>
      <c r="BX26" s="43" t="n"/>
      <c r="BY26" s="43" t="n"/>
      <c r="BZ26" s="43" t="n"/>
      <c r="CA26" s="43" t="n"/>
      <c r="CB26" s="43" t="n"/>
      <c r="CC26" s="43" t="n"/>
      <c r="CD26" s="43" t="n"/>
      <c r="CE26" s="43" t="n"/>
      <c r="CF26" s="43" t="n"/>
      <c r="CG26" s="43" t="n"/>
      <c r="CH26" s="43" t="n"/>
      <c r="CI26" s="43" t="n"/>
      <c r="CJ26" s="43" t="n"/>
      <c r="CK26" s="43" t="n"/>
      <c r="CL26" s="43" t="n"/>
      <c r="CM26" s="43" t="n"/>
      <c r="CN26" s="43" t="n"/>
      <c r="CO26" s="43" t="n"/>
      <c r="CP26" s="43" t="n"/>
      <c r="CQ26" s="43" t="n"/>
      <c r="CR26" s="43" t="n"/>
      <c r="CS26" s="43" t="n"/>
      <c r="CT26" s="43" t="n"/>
      <c r="CU26" s="43" t="n"/>
      <c r="CV26" s="43" t="n"/>
      <c r="CW26" s="43" t="n"/>
      <c r="CX26" s="43" t="n"/>
      <c r="CY26" s="43" t="n"/>
      <c r="CZ26" s="43" t="n"/>
      <c r="DA26" s="43" t="n"/>
      <c r="DB26" s="45">
        <f>IF(C26="","",COUNTA(AI26,AL26,AO26,AR26))</f>
        <v/>
      </c>
      <c r="DC26" s="45">
        <f>IF(C26="","",COUNTA(BM26,BO26,BQ26,BS26,BU26,BW26,BY26,CA26))</f>
        <v/>
      </c>
      <c r="DD26" s="45">
        <f>IF(C26="","",COUNTIF(AV26:BL26,"Yes"))</f>
        <v/>
      </c>
      <c r="DE26" s="45">
        <f>IF(C26="","",COUNTIF(CV26:CZ26,"Yes"))</f>
        <v/>
      </c>
    </row>
    <row r="27">
      <c r="A27" s="43" t="n"/>
      <c r="B27" s="44" t="n"/>
      <c r="C27" s="43" t="n"/>
      <c r="D27" s="43" t="n"/>
      <c r="E27" s="43" t="n"/>
      <c r="F27" s="43" t="n"/>
      <c r="G27" s="44" t="n"/>
      <c r="H27" s="43" t="n"/>
      <c r="I27" s="43" t="n"/>
      <c r="J27" s="43" t="n"/>
      <c r="K27" s="43" t="n"/>
      <c r="L27" s="43" t="n"/>
      <c r="M27" s="43" t="n"/>
      <c r="N27" s="43" t="n"/>
      <c r="O27" s="43" t="n"/>
      <c r="P27" s="43" t="n"/>
      <c r="Q27" s="43" t="n"/>
      <c r="R27" s="43" t="n"/>
      <c r="S27" s="43" t="n"/>
      <c r="T27" s="43" t="n"/>
      <c r="U27" s="43" t="n"/>
      <c r="V27" s="43" t="n"/>
      <c r="W27" s="43" t="n"/>
      <c r="X27" s="43" t="n"/>
      <c r="Y27" s="43" t="n"/>
      <c r="Z27" s="43" t="n"/>
      <c r="AA27" s="43" t="n"/>
      <c r="AB27" s="43" t="n"/>
      <c r="AC27" s="43" t="n"/>
      <c r="AD27" s="43" t="n"/>
      <c r="AE27" s="44" t="n"/>
      <c r="AF27" s="43" t="n"/>
      <c r="AG27" s="43" t="n"/>
      <c r="AH27" s="44" t="n"/>
      <c r="AI27" s="43" t="n"/>
      <c r="AJ27" s="43" t="n"/>
      <c r="AK27" s="43" t="n"/>
      <c r="AL27" s="43" t="n"/>
      <c r="AM27" s="43" t="n"/>
      <c r="AN27" s="43" t="n"/>
      <c r="AO27" s="43" t="n"/>
      <c r="AP27" s="43" t="n"/>
      <c r="AQ27" s="43" t="n"/>
      <c r="AR27" s="43" t="n"/>
      <c r="AS27" s="43" t="n"/>
      <c r="AT27" s="43" t="n"/>
      <c r="AU27" s="43" t="n"/>
      <c r="AV27" s="43" t="n"/>
      <c r="AW27" s="43" t="n"/>
      <c r="AX27" s="43" t="n"/>
      <c r="AY27" s="43" t="n"/>
      <c r="AZ27" s="43" t="n"/>
      <c r="BA27" s="43" t="n"/>
      <c r="BB27" s="43" t="n"/>
      <c r="BC27" s="43" t="n"/>
      <c r="BD27" s="43" t="n"/>
      <c r="BE27" s="43" t="n"/>
      <c r="BF27" s="43" t="n"/>
      <c r="BG27" s="43" t="n"/>
      <c r="BH27" s="43" t="n"/>
      <c r="BI27" s="43" t="n"/>
      <c r="BJ27" s="43" t="n"/>
      <c r="BK27" s="43" t="n"/>
      <c r="BL27" s="43" t="n"/>
      <c r="BM27" s="43" t="n"/>
      <c r="BN27" s="43" t="n"/>
      <c r="BO27" s="43" t="n"/>
      <c r="BP27" s="43" t="n"/>
      <c r="BQ27" s="43" t="n"/>
      <c r="BR27" s="43" t="n"/>
      <c r="BS27" s="43" t="n"/>
      <c r="BT27" s="43" t="n"/>
      <c r="BU27" s="43" t="n"/>
      <c r="BV27" s="43" t="n"/>
      <c r="BW27" s="43" t="n"/>
      <c r="BX27" s="43" t="n"/>
      <c r="BY27" s="43" t="n"/>
      <c r="BZ27" s="43" t="n"/>
      <c r="CA27" s="43" t="n"/>
      <c r="CB27" s="43" t="n"/>
      <c r="CC27" s="43" t="n"/>
      <c r="CD27" s="43" t="n"/>
      <c r="CE27" s="43" t="n"/>
      <c r="CF27" s="43" t="n"/>
      <c r="CG27" s="43" t="n"/>
      <c r="CH27" s="43" t="n"/>
      <c r="CI27" s="43" t="n"/>
      <c r="CJ27" s="43" t="n"/>
      <c r="CK27" s="43" t="n"/>
      <c r="CL27" s="43" t="n"/>
      <c r="CM27" s="43" t="n"/>
      <c r="CN27" s="43" t="n"/>
      <c r="CO27" s="43" t="n"/>
      <c r="CP27" s="43" t="n"/>
      <c r="CQ27" s="43" t="n"/>
      <c r="CR27" s="43" t="n"/>
      <c r="CS27" s="43" t="n"/>
      <c r="CT27" s="43" t="n"/>
      <c r="CU27" s="43" t="n"/>
      <c r="CV27" s="43" t="n"/>
      <c r="CW27" s="43" t="n"/>
      <c r="CX27" s="43" t="n"/>
      <c r="CY27" s="43" t="n"/>
      <c r="CZ27" s="43" t="n"/>
      <c r="DA27" s="43" t="n"/>
      <c r="DB27" s="45">
        <f>IF(C27="","",COUNTA(AI27,AL27,AO27,AR27))</f>
        <v/>
      </c>
      <c r="DC27" s="45">
        <f>IF(C27="","",COUNTA(BM27,BO27,BQ27,BS27,BU27,BW27,BY27,CA27))</f>
        <v/>
      </c>
      <c r="DD27" s="45">
        <f>IF(C27="","",COUNTIF(AV27:BL27,"Yes"))</f>
        <v/>
      </c>
      <c r="DE27" s="45">
        <f>IF(C27="","",COUNTIF(CV27:CZ27,"Yes"))</f>
        <v/>
      </c>
    </row>
    <row r="28">
      <c r="A28" s="43" t="n"/>
      <c r="B28" s="44" t="n"/>
      <c r="C28" s="43" t="n"/>
      <c r="D28" s="43" t="n"/>
      <c r="E28" s="43" t="n"/>
      <c r="F28" s="43" t="n"/>
      <c r="G28" s="44" t="n"/>
      <c r="H28" s="43" t="n"/>
      <c r="I28" s="43" t="n"/>
      <c r="J28" s="43" t="n"/>
      <c r="K28" s="43" t="n"/>
      <c r="L28" s="43" t="n"/>
      <c r="M28" s="43" t="n"/>
      <c r="N28" s="43" t="n"/>
      <c r="O28" s="43" t="n"/>
      <c r="P28" s="43" t="n"/>
      <c r="Q28" s="43" t="n"/>
      <c r="R28" s="43" t="n"/>
      <c r="S28" s="43" t="n"/>
      <c r="T28" s="43" t="n"/>
      <c r="U28" s="43" t="n"/>
      <c r="V28" s="43" t="n"/>
      <c r="W28" s="43" t="n"/>
      <c r="X28" s="43" t="n"/>
      <c r="Y28" s="43" t="n"/>
      <c r="Z28" s="43" t="n"/>
      <c r="AA28" s="43" t="n"/>
      <c r="AB28" s="43" t="n"/>
      <c r="AC28" s="43" t="n"/>
      <c r="AD28" s="43" t="n"/>
      <c r="AE28" s="44" t="n"/>
      <c r="AF28" s="43" t="n"/>
      <c r="AG28" s="43" t="n"/>
      <c r="AH28" s="44" t="n"/>
      <c r="AI28" s="43" t="n"/>
      <c r="AJ28" s="43" t="n"/>
      <c r="AK28" s="43" t="n"/>
      <c r="AL28" s="43" t="n"/>
      <c r="AM28" s="43" t="n"/>
      <c r="AN28" s="43" t="n"/>
      <c r="AO28" s="43" t="n"/>
      <c r="AP28" s="43" t="n"/>
      <c r="AQ28" s="43" t="n"/>
      <c r="AR28" s="43" t="n"/>
      <c r="AS28" s="43" t="n"/>
      <c r="AT28" s="43" t="n"/>
      <c r="AU28" s="43" t="n"/>
      <c r="AV28" s="43" t="n"/>
      <c r="AW28" s="43" t="n"/>
      <c r="AX28" s="43" t="n"/>
      <c r="AY28" s="43" t="n"/>
      <c r="AZ28" s="43" t="n"/>
      <c r="BA28" s="43" t="n"/>
      <c r="BB28" s="43" t="n"/>
      <c r="BC28" s="43" t="n"/>
      <c r="BD28" s="43" t="n"/>
      <c r="BE28" s="43" t="n"/>
      <c r="BF28" s="43" t="n"/>
      <c r="BG28" s="43" t="n"/>
      <c r="BH28" s="43" t="n"/>
      <c r="BI28" s="43" t="n"/>
      <c r="BJ28" s="43" t="n"/>
      <c r="BK28" s="43" t="n"/>
      <c r="BL28" s="43" t="n"/>
      <c r="BM28" s="43" t="n"/>
      <c r="BN28" s="43" t="n"/>
      <c r="BO28" s="43" t="n"/>
      <c r="BP28" s="43" t="n"/>
      <c r="BQ28" s="43" t="n"/>
      <c r="BR28" s="43" t="n"/>
      <c r="BS28" s="43" t="n"/>
      <c r="BT28" s="43" t="n"/>
      <c r="BU28" s="43" t="n"/>
      <c r="BV28" s="43" t="n"/>
      <c r="BW28" s="43" t="n"/>
      <c r="BX28" s="43" t="n"/>
      <c r="BY28" s="43" t="n"/>
      <c r="BZ28" s="43" t="n"/>
      <c r="CA28" s="43" t="n"/>
      <c r="CB28" s="43" t="n"/>
      <c r="CC28" s="43" t="n"/>
      <c r="CD28" s="43" t="n"/>
      <c r="CE28" s="43" t="n"/>
      <c r="CF28" s="43" t="n"/>
      <c r="CG28" s="43" t="n"/>
      <c r="CH28" s="43" t="n"/>
      <c r="CI28" s="43" t="n"/>
      <c r="CJ28" s="43" t="n"/>
      <c r="CK28" s="43" t="n"/>
      <c r="CL28" s="43" t="n"/>
      <c r="CM28" s="43" t="n"/>
      <c r="CN28" s="43" t="n"/>
      <c r="CO28" s="43" t="n"/>
      <c r="CP28" s="43" t="n"/>
      <c r="CQ28" s="43" t="n"/>
      <c r="CR28" s="43" t="n"/>
      <c r="CS28" s="43" t="n"/>
      <c r="CT28" s="43" t="n"/>
      <c r="CU28" s="43" t="n"/>
      <c r="CV28" s="43" t="n"/>
      <c r="CW28" s="43" t="n"/>
      <c r="CX28" s="43" t="n"/>
      <c r="CY28" s="43" t="n"/>
      <c r="CZ28" s="43" t="n"/>
      <c r="DA28" s="43" t="n"/>
      <c r="DB28" s="45">
        <f>IF(C28="","",COUNTA(AI28,AL28,AO28,AR28))</f>
        <v/>
      </c>
      <c r="DC28" s="45">
        <f>IF(C28="","",COUNTA(BM28,BO28,BQ28,BS28,BU28,BW28,BY28,CA28))</f>
        <v/>
      </c>
      <c r="DD28" s="45">
        <f>IF(C28="","",COUNTIF(AV28:BL28,"Yes"))</f>
        <v/>
      </c>
      <c r="DE28" s="45">
        <f>IF(C28="","",COUNTIF(CV28:CZ28,"Yes"))</f>
        <v/>
      </c>
    </row>
    <row r="29">
      <c r="A29" s="43" t="n"/>
      <c r="B29" s="44" t="n"/>
      <c r="C29" s="43" t="n"/>
      <c r="D29" s="43" t="n"/>
      <c r="E29" s="43" t="n"/>
      <c r="F29" s="43" t="n"/>
      <c r="G29" s="44" t="n"/>
      <c r="H29" s="43" t="n"/>
      <c r="I29" s="43" t="n"/>
      <c r="J29" s="43" t="n"/>
      <c r="K29" s="43" t="n"/>
      <c r="L29" s="43" t="n"/>
      <c r="M29" s="43" t="n"/>
      <c r="N29" s="43" t="n"/>
      <c r="O29" s="43" t="n"/>
      <c r="P29" s="43" t="n"/>
      <c r="Q29" s="43" t="n"/>
      <c r="R29" s="43" t="n"/>
      <c r="S29" s="43" t="n"/>
      <c r="T29" s="43" t="n"/>
      <c r="U29" s="43" t="n"/>
      <c r="V29" s="43" t="n"/>
      <c r="W29" s="43" t="n"/>
      <c r="X29" s="43" t="n"/>
      <c r="Y29" s="43" t="n"/>
      <c r="Z29" s="43" t="n"/>
      <c r="AA29" s="43" t="n"/>
      <c r="AB29" s="43" t="n"/>
      <c r="AC29" s="43" t="n"/>
      <c r="AD29" s="43" t="n"/>
      <c r="AE29" s="44" t="n"/>
      <c r="AF29" s="43" t="n"/>
      <c r="AG29" s="43" t="n"/>
      <c r="AH29" s="44" t="n"/>
      <c r="AI29" s="43" t="n"/>
      <c r="AJ29" s="43" t="n"/>
      <c r="AK29" s="43" t="n"/>
      <c r="AL29" s="43" t="n"/>
      <c r="AM29" s="43" t="n"/>
      <c r="AN29" s="43" t="n"/>
      <c r="AO29" s="43" t="n"/>
      <c r="AP29" s="43" t="n"/>
      <c r="AQ29" s="43" t="n"/>
      <c r="AR29" s="43" t="n"/>
      <c r="AS29" s="43" t="n"/>
      <c r="AT29" s="43" t="n"/>
      <c r="AU29" s="43" t="n"/>
      <c r="AV29" s="43" t="n"/>
      <c r="AW29" s="43" t="n"/>
      <c r="AX29" s="43" t="n"/>
      <c r="AY29" s="43" t="n"/>
      <c r="AZ29" s="43" t="n"/>
      <c r="BA29" s="43" t="n"/>
      <c r="BB29" s="43" t="n"/>
      <c r="BC29" s="43" t="n"/>
      <c r="BD29" s="43" t="n"/>
      <c r="BE29" s="43" t="n"/>
      <c r="BF29" s="43" t="n"/>
      <c r="BG29" s="43" t="n"/>
      <c r="BH29" s="43" t="n"/>
      <c r="BI29" s="43" t="n"/>
      <c r="BJ29" s="43" t="n"/>
      <c r="BK29" s="43" t="n"/>
      <c r="BL29" s="43" t="n"/>
      <c r="BM29" s="43" t="n"/>
      <c r="BN29" s="43" t="n"/>
      <c r="BO29" s="43" t="n"/>
      <c r="BP29" s="43" t="n"/>
      <c r="BQ29" s="43" t="n"/>
      <c r="BR29" s="43" t="n"/>
      <c r="BS29" s="43" t="n"/>
      <c r="BT29" s="43" t="n"/>
      <c r="BU29" s="43" t="n"/>
      <c r="BV29" s="43" t="n"/>
      <c r="BW29" s="43" t="n"/>
      <c r="BX29" s="43" t="n"/>
      <c r="BY29" s="43" t="n"/>
      <c r="BZ29" s="43" t="n"/>
      <c r="CA29" s="43" t="n"/>
      <c r="CB29" s="43" t="n"/>
      <c r="CC29" s="43" t="n"/>
      <c r="CD29" s="43" t="n"/>
      <c r="CE29" s="43" t="n"/>
      <c r="CF29" s="43" t="n"/>
      <c r="CG29" s="43" t="n"/>
      <c r="CH29" s="43" t="n"/>
      <c r="CI29" s="43" t="n"/>
      <c r="CJ29" s="43" t="n"/>
      <c r="CK29" s="43" t="n"/>
      <c r="CL29" s="43" t="n"/>
      <c r="CM29" s="43" t="n"/>
      <c r="CN29" s="43" t="n"/>
      <c r="CO29" s="43" t="n"/>
      <c r="CP29" s="43" t="n"/>
      <c r="CQ29" s="43" t="n"/>
      <c r="CR29" s="43" t="n"/>
      <c r="CS29" s="43" t="n"/>
      <c r="CT29" s="43" t="n"/>
      <c r="CU29" s="43" t="n"/>
      <c r="CV29" s="43" t="n"/>
      <c r="CW29" s="43" t="n"/>
      <c r="CX29" s="43" t="n"/>
      <c r="CY29" s="43" t="n"/>
      <c r="CZ29" s="43" t="n"/>
      <c r="DA29" s="43" t="n"/>
      <c r="DB29" s="45">
        <f>IF(C29="","",COUNTA(AI29,AL29,AO29,AR29))</f>
        <v/>
      </c>
      <c r="DC29" s="45">
        <f>IF(C29="","",COUNTA(BM29,BO29,BQ29,BS29,BU29,BW29,BY29,CA29))</f>
        <v/>
      </c>
      <c r="DD29" s="45">
        <f>IF(C29="","",COUNTIF(AV29:BL29,"Yes"))</f>
        <v/>
      </c>
      <c r="DE29" s="45">
        <f>IF(C29="","",COUNTIF(CV29:CZ29,"Yes"))</f>
        <v/>
      </c>
    </row>
    <row r="30">
      <c r="A30" s="43" t="n"/>
      <c r="B30" s="44" t="n"/>
      <c r="C30" s="43" t="n"/>
      <c r="D30" s="43" t="n"/>
      <c r="E30" s="43" t="n"/>
      <c r="F30" s="43" t="n"/>
      <c r="G30" s="44" t="n"/>
      <c r="H30" s="43" t="n"/>
      <c r="I30" s="43" t="n"/>
      <c r="J30" s="43" t="n"/>
      <c r="K30" s="43" t="n"/>
      <c r="L30" s="43" t="n"/>
      <c r="M30" s="43" t="n"/>
      <c r="N30" s="43" t="n"/>
      <c r="O30" s="43" t="n"/>
      <c r="P30" s="43" t="n"/>
      <c r="Q30" s="43" t="n"/>
      <c r="R30" s="43" t="n"/>
      <c r="S30" s="43" t="n"/>
      <c r="T30" s="43" t="n"/>
      <c r="U30" s="43" t="n"/>
      <c r="V30" s="43" t="n"/>
      <c r="W30" s="43" t="n"/>
      <c r="X30" s="43" t="n"/>
      <c r="Y30" s="43" t="n"/>
      <c r="Z30" s="43" t="n"/>
      <c r="AA30" s="43" t="n"/>
      <c r="AB30" s="43" t="n"/>
      <c r="AC30" s="43" t="n"/>
      <c r="AD30" s="43" t="n"/>
      <c r="AE30" s="44" t="n"/>
      <c r="AF30" s="43" t="n"/>
      <c r="AG30" s="43" t="n"/>
      <c r="AH30" s="44" t="n"/>
      <c r="AI30" s="43" t="n"/>
      <c r="AJ30" s="43" t="n"/>
      <c r="AK30" s="43" t="n"/>
      <c r="AL30" s="43" t="n"/>
      <c r="AM30" s="43" t="n"/>
      <c r="AN30" s="43" t="n"/>
      <c r="AO30" s="43" t="n"/>
      <c r="AP30" s="43" t="n"/>
      <c r="AQ30" s="43" t="n"/>
      <c r="AR30" s="43" t="n"/>
      <c r="AS30" s="43" t="n"/>
      <c r="AT30" s="43" t="n"/>
      <c r="AU30" s="43" t="n"/>
      <c r="AV30" s="43" t="n"/>
      <c r="AW30" s="43" t="n"/>
      <c r="AX30" s="43" t="n"/>
      <c r="AY30" s="43" t="n"/>
      <c r="AZ30" s="43" t="n"/>
      <c r="BA30" s="43" t="n"/>
      <c r="BB30" s="43" t="n"/>
      <c r="BC30" s="43" t="n"/>
      <c r="BD30" s="43" t="n"/>
      <c r="BE30" s="43" t="n"/>
      <c r="BF30" s="43" t="n"/>
      <c r="BG30" s="43" t="n"/>
      <c r="BH30" s="43" t="n"/>
      <c r="BI30" s="43" t="n"/>
      <c r="BJ30" s="43" t="n"/>
      <c r="BK30" s="43" t="n"/>
      <c r="BL30" s="43" t="n"/>
      <c r="BM30" s="43" t="n"/>
      <c r="BN30" s="43" t="n"/>
      <c r="BO30" s="43" t="n"/>
      <c r="BP30" s="43" t="n"/>
      <c r="BQ30" s="43" t="n"/>
      <c r="BR30" s="43" t="n"/>
      <c r="BS30" s="43" t="n"/>
      <c r="BT30" s="43" t="n"/>
      <c r="BU30" s="43" t="n"/>
      <c r="BV30" s="43" t="n"/>
      <c r="BW30" s="43" t="n"/>
      <c r="BX30" s="43" t="n"/>
      <c r="BY30" s="43" t="n"/>
      <c r="BZ30" s="43" t="n"/>
      <c r="CA30" s="43" t="n"/>
      <c r="CB30" s="43" t="n"/>
      <c r="CC30" s="43" t="n"/>
      <c r="CD30" s="43" t="n"/>
      <c r="CE30" s="43" t="n"/>
      <c r="CF30" s="43" t="n"/>
      <c r="CG30" s="43" t="n"/>
      <c r="CH30" s="43" t="n"/>
      <c r="CI30" s="43" t="n"/>
      <c r="CJ30" s="43" t="n"/>
      <c r="CK30" s="43" t="n"/>
      <c r="CL30" s="43" t="n"/>
      <c r="CM30" s="43" t="n"/>
      <c r="CN30" s="43" t="n"/>
      <c r="CO30" s="43" t="n"/>
      <c r="CP30" s="43" t="n"/>
      <c r="CQ30" s="43" t="n"/>
      <c r="CR30" s="43" t="n"/>
      <c r="CS30" s="43" t="n"/>
      <c r="CT30" s="43" t="n"/>
      <c r="CU30" s="43" t="n"/>
      <c r="CV30" s="43" t="n"/>
      <c r="CW30" s="43" t="n"/>
      <c r="CX30" s="43" t="n"/>
      <c r="CY30" s="43" t="n"/>
      <c r="CZ30" s="43" t="n"/>
      <c r="DA30" s="43" t="n"/>
      <c r="DB30" s="45">
        <f>IF(C30="","",COUNTA(AI30,AL30,AO30,AR30))</f>
        <v/>
      </c>
      <c r="DC30" s="45">
        <f>IF(C30="","",COUNTA(BM30,BO30,BQ30,BS30,BU30,BW30,BY30,CA30))</f>
        <v/>
      </c>
      <c r="DD30" s="45">
        <f>IF(C30="","",COUNTIF(AV30:BL30,"Yes"))</f>
        <v/>
      </c>
      <c r="DE30" s="45">
        <f>IF(C30="","",COUNTIF(CV30:CZ30,"Yes"))</f>
        <v/>
      </c>
    </row>
    <row r="31">
      <c r="A31" s="43" t="n"/>
      <c r="B31" s="44" t="n"/>
      <c r="C31" s="43" t="n"/>
      <c r="D31" s="43" t="n"/>
      <c r="E31" s="43" t="n"/>
      <c r="F31" s="43" t="n"/>
      <c r="G31" s="44" t="n"/>
      <c r="H31" s="43" t="n"/>
      <c r="I31" s="43" t="n"/>
      <c r="J31" s="43" t="n"/>
      <c r="K31" s="43" t="n"/>
      <c r="L31" s="43" t="n"/>
      <c r="M31" s="43" t="n"/>
      <c r="N31" s="43" t="n"/>
      <c r="O31" s="43" t="n"/>
      <c r="P31" s="43" t="n"/>
      <c r="Q31" s="43" t="n"/>
      <c r="R31" s="43" t="n"/>
      <c r="S31" s="43" t="n"/>
      <c r="T31" s="43" t="n"/>
      <c r="U31" s="43" t="n"/>
      <c r="V31" s="43" t="n"/>
      <c r="W31" s="43" t="n"/>
      <c r="X31" s="43" t="n"/>
      <c r="Y31" s="43" t="n"/>
      <c r="Z31" s="43" t="n"/>
      <c r="AA31" s="43" t="n"/>
      <c r="AB31" s="43" t="n"/>
      <c r="AC31" s="43" t="n"/>
      <c r="AD31" s="43" t="n"/>
      <c r="AE31" s="44" t="n"/>
      <c r="AF31" s="43" t="n"/>
      <c r="AG31" s="43" t="n"/>
      <c r="AH31" s="44" t="n"/>
      <c r="AI31" s="43" t="n"/>
      <c r="AJ31" s="43" t="n"/>
      <c r="AK31" s="43" t="n"/>
      <c r="AL31" s="43" t="n"/>
      <c r="AM31" s="43" t="n"/>
      <c r="AN31" s="43" t="n"/>
      <c r="AO31" s="43" t="n"/>
      <c r="AP31" s="43" t="n"/>
      <c r="AQ31" s="43" t="n"/>
      <c r="AR31" s="43" t="n"/>
      <c r="AS31" s="43" t="n"/>
      <c r="AT31" s="43" t="n"/>
      <c r="AU31" s="43" t="n"/>
      <c r="AV31" s="43" t="n"/>
      <c r="AW31" s="43" t="n"/>
      <c r="AX31" s="43" t="n"/>
      <c r="AY31" s="43" t="n"/>
      <c r="AZ31" s="43" t="n"/>
      <c r="BA31" s="43" t="n"/>
      <c r="BB31" s="43" t="n"/>
      <c r="BC31" s="43" t="n"/>
      <c r="BD31" s="43" t="n"/>
      <c r="BE31" s="43" t="n"/>
      <c r="BF31" s="43" t="n"/>
      <c r="BG31" s="43" t="n"/>
      <c r="BH31" s="43" t="n"/>
      <c r="BI31" s="43" t="n"/>
      <c r="BJ31" s="43" t="n"/>
      <c r="BK31" s="43" t="n"/>
      <c r="BL31" s="43" t="n"/>
      <c r="BM31" s="43" t="n"/>
      <c r="BN31" s="43" t="n"/>
      <c r="BO31" s="43" t="n"/>
      <c r="BP31" s="43" t="n"/>
      <c r="BQ31" s="43" t="n"/>
      <c r="BR31" s="43" t="n"/>
      <c r="BS31" s="43" t="n"/>
      <c r="BT31" s="43" t="n"/>
      <c r="BU31" s="43" t="n"/>
      <c r="BV31" s="43" t="n"/>
      <c r="BW31" s="43" t="n"/>
      <c r="BX31" s="43" t="n"/>
      <c r="BY31" s="43" t="n"/>
      <c r="BZ31" s="43" t="n"/>
      <c r="CA31" s="43" t="n"/>
      <c r="CB31" s="43" t="n"/>
      <c r="CC31" s="43" t="n"/>
      <c r="CD31" s="43" t="n"/>
      <c r="CE31" s="43" t="n"/>
      <c r="CF31" s="43" t="n"/>
      <c r="CG31" s="43" t="n"/>
      <c r="CH31" s="43" t="n"/>
      <c r="CI31" s="43" t="n"/>
      <c r="CJ31" s="43" t="n"/>
      <c r="CK31" s="43" t="n"/>
      <c r="CL31" s="43" t="n"/>
      <c r="CM31" s="43" t="n"/>
      <c r="CN31" s="43" t="n"/>
      <c r="CO31" s="43" t="n"/>
      <c r="CP31" s="43" t="n"/>
      <c r="CQ31" s="43" t="n"/>
      <c r="CR31" s="43" t="n"/>
      <c r="CS31" s="43" t="n"/>
      <c r="CT31" s="43" t="n"/>
      <c r="CU31" s="43" t="n"/>
      <c r="CV31" s="43" t="n"/>
      <c r="CW31" s="43" t="n"/>
      <c r="CX31" s="43" t="n"/>
      <c r="CY31" s="43" t="n"/>
      <c r="CZ31" s="43" t="n"/>
      <c r="DA31" s="43" t="n"/>
      <c r="DB31" s="45">
        <f>IF(C31="","",COUNTA(AI31,AL31,AO31,AR31))</f>
        <v/>
      </c>
      <c r="DC31" s="45">
        <f>IF(C31="","",COUNTA(BM31,BO31,BQ31,BS31,BU31,BW31,BY31,CA31))</f>
        <v/>
      </c>
      <c r="DD31" s="45">
        <f>IF(C31="","",COUNTIF(AV31:BL31,"Yes"))</f>
        <v/>
      </c>
      <c r="DE31" s="45">
        <f>IF(C31="","",COUNTIF(CV31:CZ31,"Yes"))</f>
        <v/>
      </c>
    </row>
    <row r="32">
      <c r="A32" s="43" t="n"/>
      <c r="B32" s="44" t="n"/>
      <c r="C32" s="43" t="n"/>
      <c r="D32" s="43" t="n"/>
      <c r="E32" s="43" t="n"/>
      <c r="F32" s="43" t="n"/>
      <c r="G32" s="44" t="n"/>
      <c r="H32" s="43" t="n"/>
      <c r="I32" s="43" t="n"/>
      <c r="J32" s="43" t="n"/>
      <c r="K32" s="43" t="n"/>
      <c r="L32" s="43" t="n"/>
      <c r="M32" s="43" t="n"/>
      <c r="N32" s="43" t="n"/>
      <c r="O32" s="43" t="n"/>
      <c r="P32" s="43" t="n"/>
      <c r="Q32" s="43" t="n"/>
      <c r="R32" s="43" t="n"/>
      <c r="S32" s="43" t="n"/>
      <c r="T32" s="43" t="n"/>
      <c r="U32" s="43" t="n"/>
      <c r="V32" s="43" t="n"/>
      <c r="W32" s="43" t="n"/>
      <c r="X32" s="43" t="n"/>
      <c r="Y32" s="43" t="n"/>
      <c r="Z32" s="43" t="n"/>
      <c r="AA32" s="43" t="n"/>
      <c r="AB32" s="43" t="n"/>
      <c r="AC32" s="43" t="n"/>
      <c r="AD32" s="43" t="n"/>
      <c r="AE32" s="44" t="n"/>
      <c r="AF32" s="43" t="n"/>
      <c r="AG32" s="43" t="n"/>
      <c r="AH32" s="44" t="n"/>
      <c r="AI32" s="43" t="n"/>
      <c r="AJ32" s="43" t="n"/>
      <c r="AK32" s="43" t="n"/>
      <c r="AL32" s="43" t="n"/>
      <c r="AM32" s="43" t="n"/>
      <c r="AN32" s="43" t="n"/>
      <c r="AO32" s="43" t="n"/>
      <c r="AP32" s="43" t="n"/>
      <c r="AQ32" s="43" t="n"/>
      <c r="AR32" s="43" t="n"/>
      <c r="AS32" s="43" t="n"/>
      <c r="AT32" s="43" t="n"/>
      <c r="AU32" s="43" t="n"/>
      <c r="AV32" s="43" t="n"/>
      <c r="AW32" s="43" t="n"/>
      <c r="AX32" s="43" t="n"/>
      <c r="AY32" s="43" t="n"/>
      <c r="AZ32" s="43" t="n"/>
      <c r="BA32" s="43" t="n"/>
      <c r="BB32" s="43" t="n"/>
      <c r="BC32" s="43" t="n"/>
      <c r="BD32" s="43" t="n"/>
      <c r="BE32" s="43" t="n"/>
      <c r="BF32" s="43" t="n"/>
      <c r="BG32" s="43" t="n"/>
      <c r="BH32" s="43" t="n"/>
      <c r="BI32" s="43" t="n"/>
      <c r="BJ32" s="43" t="n"/>
      <c r="BK32" s="43" t="n"/>
      <c r="BL32" s="43" t="n"/>
      <c r="BM32" s="43" t="n"/>
      <c r="BN32" s="43" t="n"/>
      <c r="BO32" s="43" t="n"/>
      <c r="BP32" s="43" t="n"/>
      <c r="BQ32" s="43" t="n"/>
      <c r="BR32" s="43" t="n"/>
      <c r="BS32" s="43" t="n"/>
      <c r="BT32" s="43" t="n"/>
      <c r="BU32" s="43" t="n"/>
      <c r="BV32" s="43" t="n"/>
      <c r="BW32" s="43" t="n"/>
      <c r="BX32" s="43" t="n"/>
      <c r="BY32" s="43" t="n"/>
      <c r="BZ32" s="43" t="n"/>
      <c r="CA32" s="43" t="n"/>
      <c r="CB32" s="43" t="n"/>
      <c r="CC32" s="43" t="n"/>
      <c r="CD32" s="43" t="n"/>
      <c r="CE32" s="43" t="n"/>
      <c r="CF32" s="43" t="n"/>
      <c r="CG32" s="43" t="n"/>
      <c r="CH32" s="43" t="n"/>
      <c r="CI32" s="43" t="n"/>
      <c r="CJ32" s="43" t="n"/>
      <c r="CK32" s="43" t="n"/>
      <c r="CL32" s="43" t="n"/>
      <c r="CM32" s="43" t="n"/>
      <c r="CN32" s="43" t="n"/>
      <c r="CO32" s="43" t="n"/>
      <c r="CP32" s="43" t="n"/>
      <c r="CQ32" s="43" t="n"/>
      <c r="CR32" s="43" t="n"/>
      <c r="CS32" s="43" t="n"/>
      <c r="CT32" s="43" t="n"/>
      <c r="CU32" s="43" t="n"/>
      <c r="CV32" s="43" t="n"/>
      <c r="CW32" s="43" t="n"/>
      <c r="CX32" s="43" t="n"/>
      <c r="CY32" s="43" t="n"/>
      <c r="CZ32" s="43" t="n"/>
      <c r="DA32" s="43" t="n"/>
      <c r="DB32" s="45">
        <f>IF(C32="","",COUNTA(AI32,AL32,AO32,AR32))</f>
        <v/>
      </c>
      <c r="DC32" s="45">
        <f>IF(C32="","",COUNTA(BM32,BO32,BQ32,BS32,BU32,BW32,BY32,CA32))</f>
        <v/>
      </c>
      <c r="DD32" s="45">
        <f>IF(C32="","",COUNTIF(AV32:BL32,"Yes"))</f>
        <v/>
      </c>
      <c r="DE32" s="45">
        <f>IF(C32="","",COUNTIF(CV32:CZ32,"Yes"))</f>
        <v/>
      </c>
    </row>
    <row r="33">
      <c r="A33" s="43" t="n"/>
      <c r="B33" s="44" t="n"/>
      <c r="C33" s="43" t="n"/>
      <c r="D33" s="43" t="n"/>
      <c r="E33" s="43" t="n"/>
      <c r="F33" s="43" t="n"/>
      <c r="G33" s="44" t="n"/>
      <c r="H33" s="43" t="n"/>
      <c r="I33" s="43" t="n"/>
      <c r="J33" s="43" t="n"/>
      <c r="K33" s="43" t="n"/>
      <c r="L33" s="43" t="n"/>
      <c r="M33" s="43" t="n"/>
      <c r="N33" s="43" t="n"/>
      <c r="O33" s="43" t="n"/>
      <c r="P33" s="43" t="n"/>
      <c r="Q33" s="43" t="n"/>
      <c r="R33" s="43" t="n"/>
      <c r="S33" s="43" t="n"/>
      <c r="T33" s="43" t="n"/>
      <c r="U33" s="43" t="n"/>
      <c r="V33" s="43" t="n"/>
      <c r="W33" s="43" t="n"/>
      <c r="X33" s="43" t="n"/>
      <c r="Y33" s="43" t="n"/>
      <c r="Z33" s="43" t="n"/>
      <c r="AA33" s="43" t="n"/>
      <c r="AB33" s="43" t="n"/>
      <c r="AC33" s="43" t="n"/>
      <c r="AD33" s="43" t="n"/>
      <c r="AE33" s="44" t="n"/>
      <c r="AF33" s="43" t="n"/>
      <c r="AG33" s="43" t="n"/>
      <c r="AH33" s="44" t="n"/>
      <c r="AI33" s="43" t="n"/>
      <c r="AJ33" s="43" t="n"/>
      <c r="AK33" s="43" t="n"/>
      <c r="AL33" s="43" t="n"/>
      <c r="AM33" s="43" t="n"/>
      <c r="AN33" s="43" t="n"/>
      <c r="AO33" s="43" t="n"/>
      <c r="AP33" s="43" t="n"/>
      <c r="AQ33" s="43" t="n"/>
      <c r="AR33" s="43" t="n"/>
      <c r="AS33" s="43" t="n"/>
      <c r="AT33" s="43" t="n"/>
      <c r="AU33" s="43" t="n"/>
      <c r="AV33" s="43" t="n"/>
      <c r="AW33" s="43" t="n"/>
      <c r="AX33" s="43" t="n"/>
      <c r="AY33" s="43" t="n"/>
      <c r="AZ33" s="43" t="n"/>
      <c r="BA33" s="43" t="n"/>
      <c r="BB33" s="43" t="n"/>
      <c r="BC33" s="43" t="n"/>
      <c r="BD33" s="43" t="n"/>
      <c r="BE33" s="43" t="n"/>
      <c r="BF33" s="43" t="n"/>
      <c r="BG33" s="43" t="n"/>
      <c r="BH33" s="43" t="n"/>
      <c r="BI33" s="43" t="n"/>
      <c r="BJ33" s="43" t="n"/>
      <c r="BK33" s="43" t="n"/>
      <c r="BL33" s="43" t="n"/>
      <c r="BM33" s="43" t="n"/>
      <c r="BN33" s="43" t="n"/>
      <c r="BO33" s="43" t="n"/>
      <c r="BP33" s="43" t="n"/>
      <c r="BQ33" s="43" t="n"/>
      <c r="BR33" s="43" t="n"/>
      <c r="BS33" s="43" t="n"/>
      <c r="BT33" s="43" t="n"/>
      <c r="BU33" s="43" t="n"/>
      <c r="BV33" s="43" t="n"/>
      <c r="BW33" s="43" t="n"/>
      <c r="BX33" s="43" t="n"/>
      <c r="BY33" s="43" t="n"/>
      <c r="BZ33" s="43" t="n"/>
      <c r="CA33" s="43" t="n"/>
      <c r="CB33" s="43" t="n"/>
      <c r="CC33" s="43" t="n"/>
      <c r="CD33" s="43" t="n"/>
      <c r="CE33" s="43" t="n"/>
      <c r="CF33" s="43" t="n"/>
      <c r="CG33" s="43" t="n"/>
      <c r="CH33" s="43" t="n"/>
      <c r="CI33" s="43" t="n"/>
      <c r="CJ33" s="43" t="n"/>
      <c r="CK33" s="43" t="n"/>
      <c r="CL33" s="43" t="n"/>
      <c r="CM33" s="43" t="n"/>
      <c r="CN33" s="43" t="n"/>
      <c r="CO33" s="43" t="n"/>
      <c r="CP33" s="43" t="n"/>
      <c r="CQ33" s="43" t="n"/>
      <c r="CR33" s="43" t="n"/>
      <c r="CS33" s="43" t="n"/>
      <c r="CT33" s="43" t="n"/>
      <c r="CU33" s="43" t="n"/>
      <c r="CV33" s="43" t="n"/>
      <c r="CW33" s="43" t="n"/>
      <c r="CX33" s="43" t="n"/>
      <c r="CY33" s="43" t="n"/>
      <c r="CZ33" s="43" t="n"/>
      <c r="DA33" s="43" t="n"/>
      <c r="DB33" s="45">
        <f>IF(C33="","",COUNTA(AI33,AL33,AO33,AR33))</f>
        <v/>
      </c>
      <c r="DC33" s="45">
        <f>IF(C33="","",COUNTA(BM33,BO33,BQ33,BS33,BU33,BW33,BY33,CA33))</f>
        <v/>
      </c>
      <c r="DD33" s="45">
        <f>IF(C33="","",COUNTIF(AV33:BL33,"Yes"))</f>
        <v/>
      </c>
      <c r="DE33" s="45">
        <f>IF(C33="","",COUNTIF(CV33:CZ33,"Yes"))</f>
        <v/>
      </c>
    </row>
    <row r="34">
      <c r="A34" s="43" t="n"/>
      <c r="B34" s="44" t="n"/>
      <c r="C34" s="43" t="n"/>
      <c r="D34" s="43" t="n"/>
      <c r="E34" s="43" t="n"/>
      <c r="F34" s="43" t="n"/>
      <c r="G34" s="44" t="n"/>
      <c r="H34" s="43" t="n"/>
      <c r="I34" s="43" t="n"/>
      <c r="J34" s="43" t="n"/>
      <c r="K34" s="43" t="n"/>
      <c r="L34" s="43" t="n"/>
      <c r="M34" s="43" t="n"/>
      <c r="N34" s="43" t="n"/>
      <c r="O34" s="43" t="n"/>
      <c r="P34" s="43" t="n"/>
      <c r="Q34" s="43" t="n"/>
      <c r="R34" s="43" t="n"/>
      <c r="S34" s="43" t="n"/>
      <c r="T34" s="43" t="n"/>
      <c r="U34" s="43" t="n"/>
      <c r="V34" s="43" t="n"/>
      <c r="W34" s="43" t="n"/>
      <c r="X34" s="43" t="n"/>
      <c r="Y34" s="43" t="n"/>
      <c r="Z34" s="43" t="n"/>
      <c r="AA34" s="43" t="n"/>
      <c r="AB34" s="43" t="n"/>
      <c r="AC34" s="43" t="n"/>
      <c r="AD34" s="43" t="n"/>
      <c r="AE34" s="44" t="n"/>
      <c r="AF34" s="43" t="n"/>
      <c r="AG34" s="43" t="n"/>
      <c r="AH34" s="44" t="n"/>
      <c r="AI34" s="43" t="n"/>
      <c r="AJ34" s="43" t="n"/>
      <c r="AK34" s="43" t="n"/>
      <c r="AL34" s="43" t="n"/>
      <c r="AM34" s="43" t="n"/>
      <c r="AN34" s="43" t="n"/>
      <c r="AO34" s="43" t="n"/>
      <c r="AP34" s="43" t="n"/>
      <c r="AQ34" s="43" t="n"/>
      <c r="AR34" s="43" t="n"/>
      <c r="AS34" s="43" t="n"/>
      <c r="AT34" s="43" t="n"/>
      <c r="AU34" s="43" t="n"/>
      <c r="AV34" s="43" t="n"/>
      <c r="AW34" s="43" t="n"/>
      <c r="AX34" s="43" t="n"/>
      <c r="AY34" s="43" t="n"/>
      <c r="AZ34" s="43" t="n"/>
      <c r="BA34" s="43" t="n"/>
      <c r="BB34" s="43" t="n"/>
      <c r="BC34" s="43" t="n"/>
      <c r="BD34" s="43" t="n"/>
      <c r="BE34" s="43" t="n"/>
      <c r="BF34" s="43" t="n"/>
      <c r="BG34" s="43" t="n"/>
      <c r="BH34" s="43" t="n"/>
      <c r="BI34" s="43" t="n"/>
      <c r="BJ34" s="43" t="n"/>
      <c r="BK34" s="43" t="n"/>
      <c r="BL34" s="43" t="n"/>
      <c r="BM34" s="43" t="n"/>
      <c r="BN34" s="43" t="n"/>
      <c r="BO34" s="43" t="n"/>
      <c r="BP34" s="43" t="n"/>
      <c r="BQ34" s="43" t="n"/>
      <c r="BR34" s="43" t="n"/>
      <c r="BS34" s="43" t="n"/>
      <c r="BT34" s="43" t="n"/>
      <c r="BU34" s="43" t="n"/>
      <c r="BV34" s="43" t="n"/>
      <c r="BW34" s="43" t="n"/>
      <c r="BX34" s="43" t="n"/>
      <c r="BY34" s="43" t="n"/>
      <c r="BZ34" s="43" t="n"/>
      <c r="CA34" s="43" t="n"/>
      <c r="CB34" s="43" t="n"/>
      <c r="CC34" s="43" t="n"/>
      <c r="CD34" s="43" t="n"/>
      <c r="CE34" s="43" t="n"/>
      <c r="CF34" s="43" t="n"/>
      <c r="CG34" s="43" t="n"/>
      <c r="CH34" s="43" t="n"/>
      <c r="CI34" s="43" t="n"/>
      <c r="CJ34" s="43" t="n"/>
      <c r="CK34" s="43" t="n"/>
      <c r="CL34" s="43" t="n"/>
      <c r="CM34" s="43" t="n"/>
      <c r="CN34" s="43" t="n"/>
      <c r="CO34" s="43" t="n"/>
      <c r="CP34" s="43" t="n"/>
      <c r="CQ34" s="43" t="n"/>
      <c r="CR34" s="43" t="n"/>
      <c r="CS34" s="43" t="n"/>
      <c r="CT34" s="43" t="n"/>
      <c r="CU34" s="43" t="n"/>
      <c r="CV34" s="43" t="n"/>
      <c r="CW34" s="43" t="n"/>
      <c r="CX34" s="43" t="n"/>
      <c r="CY34" s="43" t="n"/>
      <c r="CZ34" s="43" t="n"/>
      <c r="DA34" s="43" t="n"/>
      <c r="DB34" s="45">
        <f>IF(C34="","",COUNTA(AI34,AL34,AO34,AR34))</f>
        <v/>
      </c>
      <c r="DC34" s="45">
        <f>IF(C34="","",COUNTA(BM34,BO34,BQ34,BS34,BU34,BW34,BY34,CA34))</f>
        <v/>
      </c>
      <c r="DD34" s="45">
        <f>IF(C34="","",COUNTIF(AV34:BL34,"Yes"))</f>
        <v/>
      </c>
      <c r="DE34" s="45">
        <f>IF(C34="","",COUNTIF(CV34:CZ34,"Yes"))</f>
        <v/>
      </c>
    </row>
    <row r="35">
      <c r="A35" s="43" t="n"/>
      <c r="B35" s="44" t="n"/>
      <c r="C35" s="43" t="n"/>
      <c r="D35" s="43" t="n"/>
      <c r="E35" s="43" t="n"/>
      <c r="F35" s="43" t="n"/>
      <c r="G35" s="44" t="n"/>
      <c r="H35" s="43" t="n"/>
      <c r="I35" s="43" t="n"/>
      <c r="J35" s="43" t="n"/>
      <c r="K35" s="43" t="n"/>
      <c r="L35" s="43" t="n"/>
      <c r="M35" s="43" t="n"/>
      <c r="N35" s="43" t="n"/>
      <c r="O35" s="43" t="n"/>
      <c r="P35" s="43" t="n"/>
      <c r="Q35" s="43" t="n"/>
      <c r="R35" s="43" t="n"/>
      <c r="S35" s="43" t="n"/>
      <c r="T35" s="43" t="n"/>
      <c r="U35" s="43" t="n"/>
      <c r="V35" s="43" t="n"/>
      <c r="W35" s="43" t="n"/>
      <c r="X35" s="43" t="n"/>
      <c r="Y35" s="43" t="n"/>
      <c r="Z35" s="43" t="n"/>
      <c r="AA35" s="43" t="n"/>
      <c r="AB35" s="43" t="n"/>
      <c r="AC35" s="43" t="n"/>
      <c r="AD35" s="43" t="n"/>
      <c r="AE35" s="44" t="n"/>
      <c r="AF35" s="43" t="n"/>
      <c r="AG35" s="43" t="n"/>
      <c r="AH35" s="44" t="n"/>
      <c r="AI35" s="43" t="n"/>
      <c r="AJ35" s="43" t="n"/>
      <c r="AK35" s="43" t="n"/>
      <c r="AL35" s="43" t="n"/>
      <c r="AM35" s="43" t="n"/>
      <c r="AN35" s="43" t="n"/>
      <c r="AO35" s="43" t="n"/>
      <c r="AP35" s="43" t="n"/>
      <c r="AQ35" s="43" t="n"/>
      <c r="AR35" s="43" t="n"/>
      <c r="AS35" s="43" t="n"/>
      <c r="AT35" s="43" t="n"/>
      <c r="AU35" s="43" t="n"/>
      <c r="AV35" s="43" t="n"/>
      <c r="AW35" s="43" t="n"/>
      <c r="AX35" s="43" t="n"/>
      <c r="AY35" s="43" t="n"/>
      <c r="AZ35" s="43" t="n"/>
      <c r="BA35" s="43" t="n"/>
      <c r="BB35" s="43" t="n"/>
      <c r="BC35" s="43" t="n"/>
      <c r="BD35" s="43" t="n"/>
      <c r="BE35" s="43" t="n"/>
      <c r="BF35" s="43" t="n"/>
      <c r="BG35" s="43" t="n"/>
      <c r="BH35" s="43" t="n"/>
      <c r="BI35" s="43" t="n"/>
      <c r="BJ35" s="43" t="n"/>
      <c r="BK35" s="43" t="n"/>
      <c r="BL35" s="43" t="n"/>
      <c r="BM35" s="43" t="n"/>
      <c r="BN35" s="43" t="n"/>
      <c r="BO35" s="43" t="n"/>
      <c r="BP35" s="43" t="n"/>
      <c r="BQ35" s="43" t="n"/>
      <c r="BR35" s="43" t="n"/>
      <c r="BS35" s="43" t="n"/>
      <c r="BT35" s="43" t="n"/>
      <c r="BU35" s="43" t="n"/>
      <c r="BV35" s="43" t="n"/>
      <c r="BW35" s="43" t="n"/>
      <c r="BX35" s="43" t="n"/>
      <c r="BY35" s="43" t="n"/>
      <c r="BZ35" s="43" t="n"/>
      <c r="CA35" s="43" t="n"/>
      <c r="CB35" s="43" t="n"/>
      <c r="CC35" s="43" t="n"/>
      <c r="CD35" s="43" t="n"/>
      <c r="CE35" s="43" t="n"/>
      <c r="CF35" s="43" t="n"/>
      <c r="CG35" s="43" t="n"/>
      <c r="CH35" s="43" t="n"/>
      <c r="CI35" s="43" t="n"/>
      <c r="CJ35" s="43" t="n"/>
      <c r="CK35" s="43" t="n"/>
      <c r="CL35" s="43" t="n"/>
      <c r="CM35" s="43" t="n"/>
      <c r="CN35" s="43" t="n"/>
      <c r="CO35" s="43" t="n"/>
      <c r="CP35" s="43" t="n"/>
      <c r="CQ35" s="43" t="n"/>
      <c r="CR35" s="43" t="n"/>
      <c r="CS35" s="43" t="n"/>
      <c r="CT35" s="43" t="n"/>
      <c r="CU35" s="43" t="n"/>
      <c r="CV35" s="43" t="n"/>
      <c r="CW35" s="43" t="n"/>
      <c r="CX35" s="43" t="n"/>
      <c r="CY35" s="43" t="n"/>
      <c r="CZ35" s="43" t="n"/>
      <c r="DA35" s="43" t="n"/>
      <c r="DB35" s="45">
        <f>IF(C35="","",COUNTA(AI35,AL35,AO35,AR35))</f>
        <v/>
      </c>
      <c r="DC35" s="45">
        <f>IF(C35="","",COUNTA(BM35,BO35,BQ35,BS35,BU35,BW35,BY35,CA35))</f>
        <v/>
      </c>
      <c r="DD35" s="45">
        <f>IF(C35="","",COUNTIF(AV35:BL35,"Yes"))</f>
        <v/>
      </c>
      <c r="DE35" s="45">
        <f>IF(C35="","",COUNTIF(CV35:CZ35,"Yes"))</f>
        <v/>
      </c>
    </row>
    <row r="36">
      <c r="A36" s="43" t="n"/>
      <c r="B36" s="44" t="n"/>
      <c r="C36" s="43" t="n"/>
      <c r="D36" s="43" t="n"/>
      <c r="E36" s="43" t="n"/>
      <c r="F36" s="43" t="n"/>
      <c r="G36" s="44" t="n"/>
      <c r="H36" s="43" t="n"/>
      <c r="I36" s="43" t="n"/>
      <c r="J36" s="43" t="n"/>
      <c r="K36" s="43" t="n"/>
      <c r="L36" s="43" t="n"/>
      <c r="M36" s="43" t="n"/>
      <c r="N36" s="43" t="n"/>
      <c r="O36" s="43" t="n"/>
      <c r="P36" s="43" t="n"/>
      <c r="Q36" s="43" t="n"/>
      <c r="R36" s="43" t="n"/>
      <c r="S36" s="43" t="n"/>
      <c r="T36" s="43" t="n"/>
      <c r="U36" s="43" t="n"/>
      <c r="V36" s="43" t="n"/>
      <c r="W36" s="43" t="n"/>
      <c r="X36" s="43" t="n"/>
      <c r="Y36" s="43" t="n"/>
      <c r="Z36" s="43" t="n"/>
      <c r="AA36" s="43" t="n"/>
      <c r="AB36" s="43" t="n"/>
      <c r="AC36" s="43" t="n"/>
      <c r="AD36" s="43" t="n"/>
      <c r="AE36" s="44" t="n"/>
      <c r="AF36" s="43" t="n"/>
      <c r="AG36" s="43" t="n"/>
      <c r="AH36" s="44" t="n"/>
      <c r="AI36" s="43" t="n"/>
      <c r="AJ36" s="43" t="n"/>
      <c r="AK36" s="43" t="n"/>
      <c r="AL36" s="43" t="n"/>
      <c r="AM36" s="43" t="n"/>
      <c r="AN36" s="43" t="n"/>
      <c r="AO36" s="43" t="n"/>
      <c r="AP36" s="43" t="n"/>
      <c r="AQ36" s="43" t="n"/>
      <c r="AR36" s="43" t="n"/>
      <c r="AS36" s="43" t="n"/>
      <c r="AT36" s="43" t="n"/>
      <c r="AU36" s="43" t="n"/>
      <c r="AV36" s="43" t="n"/>
      <c r="AW36" s="43" t="n"/>
      <c r="AX36" s="43" t="n"/>
      <c r="AY36" s="43" t="n"/>
      <c r="AZ36" s="43" t="n"/>
      <c r="BA36" s="43" t="n"/>
      <c r="BB36" s="43" t="n"/>
      <c r="BC36" s="43" t="n"/>
      <c r="BD36" s="43" t="n"/>
      <c r="BE36" s="43" t="n"/>
      <c r="BF36" s="43" t="n"/>
      <c r="BG36" s="43" t="n"/>
      <c r="BH36" s="43" t="n"/>
      <c r="BI36" s="43" t="n"/>
      <c r="BJ36" s="43" t="n"/>
      <c r="BK36" s="43" t="n"/>
      <c r="BL36" s="43" t="n"/>
      <c r="BM36" s="43" t="n"/>
      <c r="BN36" s="43" t="n"/>
      <c r="BO36" s="43" t="n"/>
      <c r="BP36" s="43" t="n"/>
      <c r="BQ36" s="43" t="n"/>
      <c r="BR36" s="43" t="n"/>
      <c r="BS36" s="43" t="n"/>
      <c r="BT36" s="43" t="n"/>
      <c r="BU36" s="43" t="n"/>
      <c r="BV36" s="43" t="n"/>
      <c r="BW36" s="43" t="n"/>
      <c r="BX36" s="43" t="n"/>
      <c r="BY36" s="43" t="n"/>
      <c r="BZ36" s="43" t="n"/>
      <c r="CA36" s="43" t="n"/>
      <c r="CB36" s="43" t="n"/>
      <c r="CC36" s="43" t="n"/>
      <c r="CD36" s="43" t="n"/>
      <c r="CE36" s="43" t="n"/>
      <c r="CF36" s="43" t="n"/>
      <c r="CG36" s="43" t="n"/>
      <c r="CH36" s="43" t="n"/>
      <c r="CI36" s="43" t="n"/>
      <c r="CJ36" s="43" t="n"/>
      <c r="CK36" s="43" t="n"/>
      <c r="CL36" s="43" t="n"/>
      <c r="CM36" s="43" t="n"/>
      <c r="CN36" s="43" t="n"/>
      <c r="CO36" s="43" t="n"/>
      <c r="CP36" s="43" t="n"/>
      <c r="CQ36" s="43" t="n"/>
      <c r="CR36" s="43" t="n"/>
      <c r="CS36" s="43" t="n"/>
      <c r="CT36" s="43" t="n"/>
      <c r="CU36" s="43" t="n"/>
      <c r="CV36" s="43" t="n"/>
      <c r="CW36" s="43" t="n"/>
      <c r="CX36" s="43" t="n"/>
      <c r="CY36" s="43" t="n"/>
      <c r="CZ36" s="43" t="n"/>
      <c r="DA36" s="43" t="n"/>
      <c r="DB36" s="45">
        <f>IF(C36="","",COUNTA(AI36,AL36,AO36,AR36))</f>
        <v/>
      </c>
      <c r="DC36" s="45">
        <f>IF(C36="","",COUNTA(BM36,BO36,BQ36,BS36,BU36,BW36,BY36,CA36))</f>
        <v/>
      </c>
      <c r="DD36" s="45">
        <f>IF(C36="","",COUNTIF(AV36:BL36,"Yes"))</f>
        <v/>
      </c>
      <c r="DE36" s="45">
        <f>IF(C36="","",COUNTIF(CV36:CZ36,"Yes"))</f>
        <v/>
      </c>
    </row>
    <row r="37">
      <c r="A37" s="43" t="n"/>
      <c r="B37" s="44" t="n"/>
      <c r="C37" s="43" t="n"/>
      <c r="D37" s="43" t="n"/>
      <c r="E37" s="43" t="n"/>
      <c r="F37" s="43" t="n"/>
      <c r="G37" s="44" t="n"/>
      <c r="H37" s="43" t="n"/>
      <c r="I37" s="43" t="n"/>
      <c r="J37" s="43" t="n"/>
      <c r="K37" s="43" t="n"/>
      <c r="L37" s="43" t="n"/>
      <c r="M37" s="43" t="n"/>
      <c r="N37" s="43" t="n"/>
      <c r="O37" s="43" t="n"/>
      <c r="P37" s="43" t="n"/>
      <c r="Q37" s="43" t="n"/>
      <c r="R37" s="43" t="n"/>
      <c r="S37" s="43" t="n"/>
      <c r="T37" s="43" t="n"/>
      <c r="U37" s="43" t="n"/>
      <c r="V37" s="43" t="n"/>
      <c r="W37" s="43" t="n"/>
      <c r="X37" s="43" t="n"/>
      <c r="Y37" s="43" t="n"/>
      <c r="Z37" s="43" t="n"/>
      <c r="AA37" s="43" t="n"/>
      <c r="AB37" s="43" t="n"/>
      <c r="AC37" s="43" t="n"/>
      <c r="AD37" s="43" t="n"/>
      <c r="AE37" s="44" t="n"/>
      <c r="AF37" s="43" t="n"/>
      <c r="AG37" s="43" t="n"/>
      <c r="AH37" s="44" t="n"/>
      <c r="AI37" s="43" t="n"/>
      <c r="AJ37" s="43" t="n"/>
      <c r="AK37" s="43" t="n"/>
      <c r="AL37" s="43" t="n"/>
      <c r="AM37" s="43" t="n"/>
      <c r="AN37" s="43" t="n"/>
      <c r="AO37" s="43" t="n"/>
      <c r="AP37" s="43" t="n"/>
      <c r="AQ37" s="43" t="n"/>
      <c r="AR37" s="43" t="n"/>
      <c r="AS37" s="43" t="n"/>
      <c r="AT37" s="43" t="n"/>
      <c r="AU37" s="43" t="n"/>
      <c r="AV37" s="43" t="n"/>
      <c r="AW37" s="43" t="n"/>
      <c r="AX37" s="43" t="n"/>
      <c r="AY37" s="43" t="n"/>
      <c r="AZ37" s="43" t="n"/>
      <c r="BA37" s="43" t="n"/>
      <c r="BB37" s="43" t="n"/>
      <c r="BC37" s="43" t="n"/>
      <c r="BD37" s="43" t="n"/>
      <c r="BE37" s="43" t="n"/>
      <c r="BF37" s="43" t="n"/>
      <c r="BG37" s="43" t="n"/>
      <c r="BH37" s="43" t="n"/>
      <c r="BI37" s="43" t="n"/>
      <c r="BJ37" s="43" t="n"/>
      <c r="BK37" s="43" t="n"/>
      <c r="BL37" s="43" t="n"/>
      <c r="BM37" s="43" t="n"/>
      <c r="BN37" s="43" t="n"/>
      <c r="BO37" s="43" t="n"/>
      <c r="BP37" s="43" t="n"/>
      <c r="BQ37" s="43" t="n"/>
      <c r="BR37" s="43" t="n"/>
      <c r="BS37" s="43" t="n"/>
      <c r="BT37" s="43" t="n"/>
      <c r="BU37" s="43" t="n"/>
      <c r="BV37" s="43" t="n"/>
      <c r="BW37" s="43" t="n"/>
      <c r="BX37" s="43" t="n"/>
      <c r="BY37" s="43" t="n"/>
      <c r="BZ37" s="43" t="n"/>
      <c r="CA37" s="43" t="n"/>
      <c r="CB37" s="43" t="n"/>
      <c r="CC37" s="43" t="n"/>
      <c r="CD37" s="43" t="n"/>
      <c r="CE37" s="43" t="n"/>
      <c r="CF37" s="43" t="n"/>
      <c r="CG37" s="43" t="n"/>
      <c r="CH37" s="43" t="n"/>
      <c r="CI37" s="43" t="n"/>
      <c r="CJ37" s="43" t="n"/>
      <c r="CK37" s="43" t="n"/>
      <c r="CL37" s="43" t="n"/>
      <c r="CM37" s="43" t="n"/>
      <c r="CN37" s="43" t="n"/>
      <c r="CO37" s="43" t="n"/>
      <c r="CP37" s="43" t="n"/>
      <c r="CQ37" s="43" t="n"/>
      <c r="CR37" s="43" t="n"/>
      <c r="CS37" s="43" t="n"/>
      <c r="CT37" s="43" t="n"/>
      <c r="CU37" s="43" t="n"/>
      <c r="CV37" s="43" t="n"/>
      <c r="CW37" s="43" t="n"/>
      <c r="CX37" s="43" t="n"/>
      <c r="CY37" s="43" t="n"/>
      <c r="CZ37" s="43" t="n"/>
      <c r="DA37" s="43" t="n"/>
      <c r="DB37" s="45">
        <f>IF(C37="","",COUNTA(AI37,AL37,AO37,AR37))</f>
        <v/>
      </c>
      <c r="DC37" s="45">
        <f>IF(C37="","",COUNTA(BM37,BO37,BQ37,BS37,BU37,BW37,BY37,CA37))</f>
        <v/>
      </c>
      <c r="DD37" s="45">
        <f>IF(C37="","",COUNTIF(AV37:BL37,"Yes"))</f>
        <v/>
      </c>
      <c r="DE37" s="45">
        <f>IF(C37="","",COUNTIF(CV37:CZ37,"Yes"))</f>
        <v/>
      </c>
    </row>
    <row r="38">
      <c r="A38" s="43" t="n"/>
      <c r="B38" s="44" t="n"/>
      <c r="C38" s="43" t="n"/>
      <c r="D38" s="43" t="n"/>
      <c r="E38" s="43" t="n"/>
      <c r="F38" s="43" t="n"/>
      <c r="G38" s="44" t="n"/>
      <c r="H38" s="43" t="n"/>
      <c r="I38" s="43" t="n"/>
      <c r="J38" s="43" t="n"/>
      <c r="K38" s="43" t="n"/>
      <c r="L38" s="43" t="n"/>
      <c r="M38" s="43" t="n"/>
      <c r="N38" s="43" t="n"/>
      <c r="O38" s="43" t="n"/>
      <c r="P38" s="43" t="n"/>
      <c r="Q38" s="43" t="n"/>
      <c r="R38" s="43" t="n"/>
      <c r="S38" s="43" t="n"/>
      <c r="T38" s="43" t="n"/>
      <c r="U38" s="43" t="n"/>
      <c r="V38" s="43" t="n"/>
      <c r="W38" s="43" t="n"/>
      <c r="X38" s="43" t="n"/>
      <c r="Y38" s="43" t="n"/>
      <c r="Z38" s="43" t="n"/>
      <c r="AA38" s="43" t="n"/>
      <c r="AB38" s="43" t="n"/>
      <c r="AC38" s="43" t="n"/>
      <c r="AD38" s="43" t="n"/>
      <c r="AE38" s="44" t="n"/>
      <c r="AF38" s="43" t="n"/>
      <c r="AG38" s="43" t="n"/>
      <c r="AH38" s="44" t="n"/>
      <c r="AI38" s="43" t="n"/>
      <c r="AJ38" s="43" t="n"/>
      <c r="AK38" s="43" t="n"/>
      <c r="AL38" s="43" t="n"/>
      <c r="AM38" s="43" t="n"/>
      <c r="AN38" s="43" t="n"/>
      <c r="AO38" s="43" t="n"/>
      <c r="AP38" s="43" t="n"/>
      <c r="AQ38" s="43" t="n"/>
      <c r="AR38" s="43" t="n"/>
      <c r="AS38" s="43" t="n"/>
      <c r="AT38" s="43" t="n"/>
      <c r="AU38" s="43" t="n"/>
      <c r="AV38" s="43" t="n"/>
      <c r="AW38" s="43" t="n"/>
      <c r="AX38" s="43" t="n"/>
      <c r="AY38" s="43" t="n"/>
      <c r="AZ38" s="43" t="n"/>
      <c r="BA38" s="43" t="n"/>
      <c r="BB38" s="43" t="n"/>
      <c r="BC38" s="43" t="n"/>
      <c r="BD38" s="43" t="n"/>
      <c r="BE38" s="43" t="n"/>
      <c r="BF38" s="43" t="n"/>
      <c r="BG38" s="43" t="n"/>
      <c r="BH38" s="43" t="n"/>
      <c r="BI38" s="43" t="n"/>
      <c r="BJ38" s="43" t="n"/>
      <c r="BK38" s="43" t="n"/>
      <c r="BL38" s="43" t="n"/>
      <c r="BM38" s="43" t="n"/>
      <c r="BN38" s="43" t="n"/>
      <c r="BO38" s="43" t="n"/>
      <c r="BP38" s="43" t="n"/>
      <c r="BQ38" s="43" t="n"/>
      <c r="BR38" s="43" t="n"/>
      <c r="BS38" s="43" t="n"/>
      <c r="BT38" s="43" t="n"/>
      <c r="BU38" s="43" t="n"/>
      <c r="BV38" s="43" t="n"/>
      <c r="BW38" s="43" t="n"/>
      <c r="BX38" s="43" t="n"/>
      <c r="BY38" s="43" t="n"/>
      <c r="BZ38" s="43" t="n"/>
      <c r="CA38" s="43" t="n"/>
      <c r="CB38" s="43" t="n"/>
      <c r="CC38" s="43" t="n"/>
      <c r="CD38" s="43" t="n"/>
      <c r="CE38" s="43" t="n"/>
      <c r="CF38" s="43" t="n"/>
      <c r="CG38" s="43" t="n"/>
      <c r="CH38" s="43" t="n"/>
      <c r="CI38" s="43" t="n"/>
      <c r="CJ38" s="43" t="n"/>
      <c r="CK38" s="43" t="n"/>
      <c r="CL38" s="43" t="n"/>
      <c r="CM38" s="43" t="n"/>
      <c r="CN38" s="43" t="n"/>
      <c r="CO38" s="43" t="n"/>
      <c r="CP38" s="43" t="n"/>
      <c r="CQ38" s="43" t="n"/>
      <c r="CR38" s="43" t="n"/>
      <c r="CS38" s="43" t="n"/>
      <c r="CT38" s="43" t="n"/>
      <c r="CU38" s="43" t="n"/>
      <c r="CV38" s="43" t="n"/>
      <c r="CW38" s="43" t="n"/>
      <c r="CX38" s="43" t="n"/>
      <c r="CY38" s="43" t="n"/>
      <c r="CZ38" s="43" t="n"/>
      <c r="DA38" s="43" t="n"/>
      <c r="DB38" s="45">
        <f>IF(C38="","",COUNTA(AI38,AL38,AO38,AR38))</f>
        <v/>
      </c>
      <c r="DC38" s="45">
        <f>IF(C38="","",COUNTA(BM38,BO38,BQ38,BS38,BU38,BW38,BY38,CA38))</f>
        <v/>
      </c>
      <c r="DD38" s="45">
        <f>IF(C38="","",COUNTIF(AV38:BL38,"Yes"))</f>
        <v/>
      </c>
      <c r="DE38" s="45">
        <f>IF(C38="","",COUNTIF(CV38:CZ38,"Yes"))</f>
        <v/>
      </c>
    </row>
    <row r="39">
      <c r="A39" s="43" t="n"/>
      <c r="B39" s="44" t="n"/>
      <c r="C39" s="43" t="n"/>
      <c r="D39" s="43" t="n"/>
      <c r="E39" s="43" t="n"/>
      <c r="F39" s="43" t="n"/>
      <c r="G39" s="44" t="n"/>
      <c r="H39" s="43" t="n"/>
      <c r="I39" s="43" t="n"/>
      <c r="J39" s="43" t="n"/>
      <c r="K39" s="43" t="n"/>
      <c r="L39" s="43" t="n"/>
      <c r="M39" s="43" t="n"/>
      <c r="N39" s="43" t="n"/>
      <c r="O39" s="43" t="n"/>
      <c r="P39" s="43" t="n"/>
      <c r="Q39" s="43" t="n"/>
      <c r="R39" s="43" t="n"/>
      <c r="S39" s="43" t="n"/>
      <c r="T39" s="43" t="n"/>
      <c r="U39" s="43" t="n"/>
      <c r="V39" s="43" t="n"/>
      <c r="W39" s="43" t="n"/>
      <c r="X39" s="43" t="n"/>
      <c r="Y39" s="43" t="n"/>
      <c r="Z39" s="43" t="n"/>
      <c r="AA39" s="43" t="n"/>
      <c r="AB39" s="43" t="n"/>
      <c r="AC39" s="43" t="n"/>
      <c r="AD39" s="43" t="n"/>
      <c r="AE39" s="44" t="n"/>
      <c r="AF39" s="43" t="n"/>
      <c r="AG39" s="43" t="n"/>
      <c r="AH39" s="44" t="n"/>
      <c r="AI39" s="43" t="n"/>
      <c r="AJ39" s="43" t="n"/>
      <c r="AK39" s="43" t="n"/>
      <c r="AL39" s="43" t="n"/>
      <c r="AM39" s="43" t="n"/>
      <c r="AN39" s="43" t="n"/>
      <c r="AO39" s="43" t="n"/>
      <c r="AP39" s="43" t="n"/>
      <c r="AQ39" s="43" t="n"/>
      <c r="AR39" s="43" t="n"/>
      <c r="AS39" s="43" t="n"/>
      <c r="AT39" s="43" t="n"/>
      <c r="AU39" s="43" t="n"/>
      <c r="AV39" s="43" t="n"/>
      <c r="AW39" s="43" t="n"/>
      <c r="AX39" s="43" t="n"/>
      <c r="AY39" s="43" t="n"/>
      <c r="AZ39" s="43" t="n"/>
      <c r="BA39" s="43" t="n"/>
      <c r="BB39" s="43" t="n"/>
      <c r="BC39" s="43" t="n"/>
      <c r="BD39" s="43" t="n"/>
      <c r="BE39" s="43" t="n"/>
      <c r="BF39" s="43" t="n"/>
      <c r="BG39" s="43" t="n"/>
      <c r="BH39" s="43" t="n"/>
      <c r="BI39" s="43" t="n"/>
      <c r="BJ39" s="43" t="n"/>
      <c r="BK39" s="43" t="n"/>
      <c r="BL39" s="43" t="n"/>
      <c r="BM39" s="43" t="n"/>
      <c r="BN39" s="43" t="n"/>
      <c r="BO39" s="43" t="n"/>
      <c r="BP39" s="43" t="n"/>
      <c r="BQ39" s="43" t="n"/>
      <c r="BR39" s="43" t="n"/>
      <c r="BS39" s="43" t="n"/>
      <c r="BT39" s="43" t="n"/>
      <c r="BU39" s="43" t="n"/>
      <c r="BV39" s="43" t="n"/>
      <c r="BW39" s="43" t="n"/>
      <c r="BX39" s="43" t="n"/>
      <c r="BY39" s="43" t="n"/>
      <c r="BZ39" s="43" t="n"/>
      <c r="CA39" s="43" t="n"/>
      <c r="CB39" s="43" t="n"/>
      <c r="CC39" s="43" t="n"/>
      <c r="CD39" s="43" t="n"/>
      <c r="CE39" s="43" t="n"/>
      <c r="CF39" s="43" t="n"/>
      <c r="CG39" s="43" t="n"/>
      <c r="CH39" s="43" t="n"/>
      <c r="CI39" s="43" t="n"/>
      <c r="CJ39" s="43" t="n"/>
      <c r="CK39" s="43" t="n"/>
      <c r="CL39" s="43" t="n"/>
      <c r="CM39" s="43" t="n"/>
      <c r="CN39" s="43" t="n"/>
      <c r="CO39" s="43" t="n"/>
      <c r="CP39" s="43" t="n"/>
      <c r="CQ39" s="43" t="n"/>
      <c r="CR39" s="43" t="n"/>
      <c r="CS39" s="43" t="n"/>
      <c r="CT39" s="43" t="n"/>
      <c r="CU39" s="43" t="n"/>
      <c r="CV39" s="43" t="n"/>
      <c r="CW39" s="43" t="n"/>
      <c r="CX39" s="43" t="n"/>
      <c r="CY39" s="43" t="n"/>
      <c r="CZ39" s="43" t="n"/>
      <c r="DA39" s="43" t="n"/>
      <c r="DB39" s="45">
        <f>IF(C39="","",COUNTA(AI39,AL39,AO39,AR39))</f>
        <v/>
      </c>
      <c r="DC39" s="45">
        <f>IF(C39="","",COUNTA(BM39,BO39,BQ39,BS39,BU39,BW39,BY39,CA39))</f>
        <v/>
      </c>
      <c r="DD39" s="45">
        <f>IF(C39="","",COUNTIF(AV39:BL39,"Yes"))</f>
        <v/>
      </c>
      <c r="DE39" s="45">
        <f>IF(C39="","",COUNTIF(CV39:CZ39,"Yes"))</f>
        <v/>
      </c>
    </row>
    <row r="40">
      <c r="A40" s="43" t="n"/>
      <c r="B40" s="44" t="n"/>
      <c r="C40" s="43" t="n"/>
      <c r="D40" s="43" t="n"/>
      <c r="E40" s="43" t="n"/>
      <c r="F40" s="43" t="n"/>
      <c r="G40" s="44" t="n"/>
      <c r="H40" s="43" t="n"/>
      <c r="I40" s="43" t="n"/>
      <c r="J40" s="43" t="n"/>
      <c r="K40" s="43" t="n"/>
      <c r="L40" s="43" t="n"/>
      <c r="M40" s="43" t="n"/>
      <c r="N40" s="43" t="n"/>
      <c r="O40" s="43" t="n"/>
      <c r="P40" s="43" t="n"/>
      <c r="Q40" s="43" t="n"/>
      <c r="R40" s="43" t="n"/>
      <c r="S40" s="43" t="n"/>
      <c r="T40" s="43" t="n"/>
      <c r="U40" s="43" t="n"/>
      <c r="V40" s="43" t="n"/>
      <c r="W40" s="43" t="n"/>
      <c r="X40" s="43" t="n"/>
      <c r="Y40" s="43" t="n"/>
      <c r="Z40" s="43" t="n"/>
      <c r="AA40" s="43" t="n"/>
      <c r="AB40" s="43" t="n"/>
      <c r="AC40" s="43" t="n"/>
      <c r="AD40" s="43" t="n"/>
      <c r="AE40" s="44" t="n"/>
      <c r="AF40" s="43" t="n"/>
      <c r="AG40" s="43" t="n"/>
      <c r="AH40" s="44" t="n"/>
      <c r="AI40" s="43" t="n"/>
      <c r="AJ40" s="43" t="n"/>
      <c r="AK40" s="43" t="n"/>
      <c r="AL40" s="43" t="n"/>
      <c r="AM40" s="43" t="n"/>
      <c r="AN40" s="43" t="n"/>
      <c r="AO40" s="43" t="n"/>
      <c r="AP40" s="43" t="n"/>
      <c r="AQ40" s="43" t="n"/>
      <c r="AR40" s="43" t="n"/>
      <c r="AS40" s="43" t="n"/>
      <c r="AT40" s="43" t="n"/>
      <c r="AU40" s="43" t="n"/>
      <c r="AV40" s="43" t="n"/>
      <c r="AW40" s="43" t="n"/>
      <c r="AX40" s="43" t="n"/>
      <c r="AY40" s="43" t="n"/>
      <c r="AZ40" s="43" t="n"/>
      <c r="BA40" s="43" t="n"/>
      <c r="BB40" s="43" t="n"/>
      <c r="BC40" s="43" t="n"/>
      <c r="BD40" s="43" t="n"/>
      <c r="BE40" s="43" t="n"/>
      <c r="BF40" s="43" t="n"/>
      <c r="BG40" s="43" t="n"/>
      <c r="BH40" s="43" t="n"/>
      <c r="BI40" s="43" t="n"/>
      <c r="BJ40" s="43" t="n"/>
      <c r="BK40" s="43" t="n"/>
      <c r="BL40" s="43" t="n"/>
      <c r="BM40" s="43" t="n"/>
      <c r="BN40" s="43" t="n"/>
      <c r="BO40" s="43" t="n"/>
      <c r="BP40" s="43" t="n"/>
      <c r="BQ40" s="43" t="n"/>
      <c r="BR40" s="43" t="n"/>
      <c r="BS40" s="43" t="n"/>
      <c r="BT40" s="43" t="n"/>
      <c r="BU40" s="43" t="n"/>
      <c r="BV40" s="43" t="n"/>
      <c r="BW40" s="43" t="n"/>
      <c r="BX40" s="43" t="n"/>
      <c r="BY40" s="43" t="n"/>
      <c r="BZ40" s="43" t="n"/>
      <c r="CA40" s="43" t="n"/>
      <c r="CB40" s="43" t="n"/>
      <c r="CC40" s="43" t="n"/>
      <c r="CD40" s="43" t="n"/>
      <c r="CE40" s="43" t="n"/>
      <c r="CF40" s="43" t="n"/>
      <c r="CG40" s="43" t="n"/>
      <c r="CH40" s="43" t="n"/>
      <c r="CI40" s="43" t="n"/>
      <c r="CJ40" s="43" t="n"/>
      <c r="CK40" s="43" t="n"/>
      <c r="CL40" s="43" t="n"/>
      <c r="CM40" s="43" t="n"/>
      <c r="CN40" s="43" t="n"/>
      <c r="CO40" s="43" t="n"/>
      <c r="CP40" s="43" t="n"/>
      <c r="CQ40" s="43" t="n"/>
      <c r="CR40" s="43" t="n"/>
      <c r="CS40" s="43" t="n"/>
      <c r="CT40" s="43" t="n"/>
      <c r="CU40" s="43" t="n"/>
      <c r="CV40" s="43" t="n"/>
      <c r="CW40" s="43" t="n"/>
      <c r="CX40" s="43" t="n"/>
      <c r="CY40" s="43" t="n"/>
      <c r="CZ40" s="43" t="n"/>
      <c r="DA40" s="43" t="n"/>
      <c r="DB40" s="45">
        <f>IF(C40="","",COUNTA(AI40,AL40,AO40,AR40))</f>
        <v/>
      </c>
      <c r="DC40" s="45">
        <f>IF(C40="","",COUNTA(BM40,BO40,BQ40,BS40,BU40,BW40,BY40,CA40))</f>
        <v/>
      </c>
      <c r="DD40" s="45">
        <f>IF(C40="","",COUNTIF(AV40:BL40,"Yes"))</f>
        <v/>
      </c>
      <c r="DE40" s="45">
        <f>IF(C40="","",COUNTIF(CV40:CZ40,"Yes"))</f>
        <v/>
      </c>
    </row>
    <row r="41">
      <c r="A41" s="43" t="n"/>
      <c r="B41" s="44" t="n"/>
      <c r="C41" s="43" t="n"/>
      <c r="D41" s="43" t="n"/>
      <c r="E41" s="43" t="n"/>
      <c r="F41" s="43" t="n"/>
      <c r="G41" s="44" t="n"/>
      <c r="H41" s="43" t="n"/>
      <c r="I41" s="43" t="n"/>
      <c r="J41" s="43" t="n"/>
      <c r="K41" s="43" t="n"/>
      <c r="L41" s="43" t="n"/>
      <c r="M41" s="43" t="n"/>
      <c r="N41" s="43" t="n"/>
      <c r="O41" s="43" t="n"/>
      <c r="P41" s="43" t="n"/>
      <c r="Q41" s="43" t="n"/>
      <c r="R41" s="43" t="n"/>
      <c r="S41" s="43" t="n"/>
      <c r="T41" s="43" t="n"/>
      <c r="U41" s="43" t="n"/>
      <c r="V41" s="43" t="n"/>
      <c r="W41" s="43" t="n"/>
      <c r="X41" s="43" t="n"/>
      <c r="Y41" s="43" t="n"/>
      <c r="Z41" s="43" t="n"/>
      <c r="AA41" s="43" t="n"/>
      <c r="AB41" s="43" t="n"/>
      <c r="AC41" s="43" t="n"/>
      <c r="AD41" s="43" t="n"/>
      <c r="AE41" s="44" t="n"/>
      <c r="AF41" s="43" t="n"/>
      <c r="AG41" s="43" t="n"/>
      <c r="AH41" s="44" t="n"/>
      <c r="AI41" s="43" t="n"/>
      <c r="AJ41" s="43" t="n"/>
      <c r="AK41" s="43" t="n"/>
      <c r="AL41" s="43" t="n"/>
      <c r="AM41" s="43" t="n"/>
      <c r="AN41" s="43" t="n"/>
      <c r="AO41" s="43" t="n"/>
      <c r="AP41" s="43" t="n"/>
      <c r="AQ41" s="43" t="n"/>
      <c r="AR41" s="43" t="n"/>
      <c r="AS41" s="43" t="n"/>
      <c r="AT41" s="43" t="n"/>
      <c r="AU41" s="43" t="n"/>
      <c r="AV41" s="43" t="n"/>
      <c r="AW41" s="43" t="n"/>
      <c r="AX41" s="43" t="n"/>
      <c r="AY41" s="43" t="n"/>
      <c r="AZ41" s="43" t="n"/>
      <c r="BA41" s="43" t="n"/>
      <c r="BB41" s="43" t="n"/>
      <c r="BC41" s="43" t="n"/>
      <c r="BD41" s="43" t="n"/>
      <c r="BE41" s="43" t="n"/>
      <c r="BF41" s="43" t="n"/>
      <c r="BG41" s="43" t="n"/>
      <c r="BH41" s="43" t="n"/>
      <c r="BI41" s="43" t="n"/>
      <c r="BJ41" s="43" t="n"/>
      <c r="BK41" s="43" t="n"/>
      <c r="BL41" s="43" t="n"/>
      <c r="BM41" s="43" t="n"/>
      <c r="BN41" s="43" t="n"/>
      <c r="BO41" s="43" t="n"/>
      <c r="BP41" s="43" t="n"/>
      <c r="BQ41" s="43" t="n"/>
      <c r="BR41" s="43" t="n"/>
      <c r="BS41" s="43" t="n"/>
      <c r="BT41" s="43" t="n"/>
      <c r="BU41" s="43" t="n"/>
      <c r="BV41" s="43" t="n"/>
      <c r="BW41" s="43" t="n"/>
      <c r="BX41" s="43" t="n"/>
      <c r="BY41" s="43" t="n"/>
      <c r="BZ41" s="43" t="n"/>
      <c r="CA41" s="43" t="n"/>
      <c r="CB41" s="43" t="n"/>
      <c r="CC41" s="43" t="n"/>
      <c r="CD41" s="43" t="n"/>
      <c r="CE41" s="43" t="n"/>
      <c r="CF41" s="43" t="n"/>
      <c r="CG41" s="43" t="n"/>
      <c r="CH41" s="43" t="n"/>
      <c r="CI41" s="43" t="n"/>
      <c r="CJ41" s="43" t="n"/>
      <c r="CK41" s="43" t="n"/>
      <c r="CL41" s="43" t="n"/>
      <c r="CM41" s="43" t="n"/>
      <c r="CN41" s="43" t="n"/>
      <c r="CO41" s="43" t="n"/>
      <c r="CP41" s="43" t="n"/>
      <c r="CQ41" s="43" t="n"/>
      <c r="CR41" s="43" t="n"/>
      <c r="CS41" s="43" t="n"/>
      <c r="CT41" s="43" t="n"/>
      <c r="CU41" s="43" t="n"/>
      <c r="CV41" s="43" t="n"/>
      <c r="CW41" s="43" t="n"/>
      <c r="CX41" s="43" t="n"/>
      <c r="CY41" s="43" t="n"/>
      <c r="CZ41" s="43" t="n"/>
      <c r="DA41" s="43" t="n"/>
      <c r="DB41" s="45">
        <f>IF(C41="","",COUNTA(AI41,AL41,AO41,AR41))</f>
        <v/>
      </c>
      <c r="DC41" s="45">
        <f>IF(C41="","",COUNTA(BM41,BO41,BQ41,BS41,BU41,BW41,BY41,CA41))</f>
        <v/>
      </c>
      <c r="DD41" s="45">
        <f>IF(C41="","",COUNTIF(AV41:BL41,"Yes"))</f>
        <v/>
      </c>
      <c r="DE41" s="45">
        <f>IF(C41="","",COUNTIF(CV41:CZ41,"Yes"))</f>
        <v/>
      </c>
    </row>
    <row r="42">
      <c r="A42" s="43" t="n"/>
      <c r="B42" s="44" t="n"/>
      <c r="C42" s="43" t="n"/>
      <c r="D42" s="43" t="n"/>
      <c r="E42" s="43" t="n"/>
      <c r="F42" s="43" t="n"/>
      <c r="G42" s="44" t="n"/>
      <c r="H42" s="43" t="n"/>
      <c r="I42" s="43" t="n"/>
      <c r="J42" s="43" t="n"/>
      <c r="K42" s="43" t="n"/>
      <c r="L42" s="43" t="n"/>
      <c r="M42" s="43" t="n"/>
      <c r="N42" s="43" t="n"/>
      <c r="O42" s="43" t="n"/>
      <c r="P42" s="43" t="n"/>
      <c r="Q42" s="43" t="n"/>
      <c r="R42" s="43" t="n"/>
      <c r="S42" s="43" t="n"/>
      <c r="T42" s="43" t="n"/>
      <c r="U42" s="43" t="n"/>
      <c r="V42" s="43" t="n"/>
      <c r="W42" s="43" t="n"/>
      <c r="X42" s="43" t="n"/>
      <c r="Y42" s="43" t="n"/>
      <c r="Z42" s="43" t="n"/>
      <c r="AA42" s="43" t="n"/>
      <c r="AB42" s="43" t="n"/>
      <c r="AC42" s="43" t="n"/>
      <c r="AD42" s="43" t="n"/>
      <c r="AE42" s="44" t="n"/>
      <c r="AF42" s="43" t="n"/>
      <c r="AG42" s="43" t="n"/>
      <c r="AH42" s="44" t="n"/>
      <c r="AI42" s="43" t="n"/>
      <c r="AJ42" s="43" t="n"/>
      <c r="AK42" s="43" t="n"/>
      <c r="AL42" s="43" t="n"/>
      <c r="AM42" s="43" t="n"/>
      <c r="AN42" s="43" t="n"/>
      <c r="AO42" s="43" t="n"/>
      <c r="AP42" s="43" t="n"/>
      <c r="AQ42" s="43" t="n"/>
      <c r="AR42" s="43" t="n"/>
      <c r="AS42" s="43" t="n"/>
      <c r="AT42" s="43" t="n"/>
      <c r="AU42" s="43" t="n"/>
      <c r="AV42" s="43" t="n"/>
      <c r="AW42" s="43" t="n"/>
      <c r="AX42" s="43" t="n"/>
      <c r="AY42" s="43" t="n"/>
      <c r="AZ42" s="43" t="n"/>
      <c r="BA42" s="43" t="n"/>
      <c r="BB42" s="43" t="n"/>
      <c r="BC42" s="43" t="n"/>
      <c r="BD42" s="43" t="n"/>
      <c r="BE42" s="43" t="n"/>
      <c r="BF42" s="43" t="n"/>
      <c r="BG42" s="43" t="n"/>
      <c r="BH42" s="43" t="n"/>
      <c r="BI42" s="43" t="n"/>
      <c r="BJ42" s="43" t="n"/>
      <c r="BK42" s="43" t="n"/>
      <c r="BL42" s="43" t="n"/>
      <c r="BM42" s="43" t="n"/>
      <c r="BN42" s="43" t="n"/>
      <c r="BO42" s="43" t="n"/>
      <c r="BP42" s="43" t="n"/>
      <c r="BQ42" s="43" t="n"/>
      <c r="BR42" s="43" t="n"/>
      <c r="BS42" s="43" t="n"/>
      <c r="BT42" s="43" t="n"/>
      <c r="BU42" s="43" t="n"/>
      <c r="BV42" s="43" t="n"/>
      <c r="BW42" s="43" t="n"/>
      <c r="BX42" s="43" t="n"/>
      <c r="BY42" s="43" t="n"/>
      <c r="BZ42" s="43" t="n"/>
      <c r="CA42" s="43" t="n"/>
      <c r="CB42" s="43" t="n"/>
      <c r="CC42" s="43" t="n"/>
      <c r="CD42" s="43" t="n"/>
      <c r="CE42" s="43" t="n"/>
      <c r="CF42" s="43" t="n"/>
      <c r="CG42" s="43" t="n"/>
      <c r="CH42" s="43" t="n"/>
      <c r="CI42" s="43" t="n"/>
      <c r="CJ42" s="43" t="n"/>
      <c r="CK42" s="43" t="n"/>
      <c r="CL42" s="43" t="n"/>
      <c r="CM42" s="43" t="n"/>
      <c r="CN42" s="43" t="n"/>
      <c r="CO42" s="43" t="n"/>
      <c r="CP42" s="43" t="n"/>
      <c r="CQ42" s="43" t="n"/>
      <c r="CR42" s="43" t="n"/>
      <c r="CS42" s="43" t="n"/>
      <c r="CT42" s="43" t="n"/>
      <c r="CU42" s="43" t="n"/>
      <c r="CV42" s="43" t="n"/>
      <c r="CW42" s="43" t="n"/>
      <c r="CX42" s="43" t="n"/>
      <c r="CY42" s="43" t="n"/>
      <c r="CZ42" s="43" t="n"/>
      <c r="DA42" s="43" t="n"/>
      <c r="DB42" s="45">
        <f>IF(C42="","",COUNTA(AI42,AL42,AO42,AR42))</f>
        <v/>
      </c>
      <c r="DC42" s="45">
        <f>IF(C42="","",COUNTA(BM42,BO42,BQ42,BS42,BU42,BW42,BY42,CA42))</f>
        <v/>
      </c>
      <c r="DD42" s="45">
        <f>IF(C42="","",COUNTIF(AV42:BL42,"Yes"))</f>
        <v/>
      </c>
      <c r="DE42" s="45">
        <f>IF(C42="","",COUNTIF(CV42:CZ42,"Yes"))</f>
        <v/>
      </c>
    </row>
    <row r="43">
      <c r="A43" s="43" t="n"/>
      <c r="B43" s="44" t="n"/>
      <c r="C43" s="43" t="n"/>
      <c r="D43" s="43" t="n"/>
      <c r="E43" s="43" t="n"/>
      <c r="F43" s="43" t="n"/>
      <c r="G43" s="44" t="n"/>
      <c r="H43" s="43" t="n"/>
      <c r="I43" s="43" t="n"/>
      <c r="J43" s="43" t="n"/>
      <c r="K43" s="43" t="n"/>
      <c r="L43" s="43" t="n"/>
      <c r="M43" s="43" t="n"/>
      <c r="N43" s="43" t="n"/>
      <c r="O43" s="43" t="n"/>
      <c r="P43" s="43" t="n"/>
      <c r="Q43" s="43" t="n"/>
      <c r="R43" s="43" t="n"/>
      <c r="S43" s="43" t="n"/>
      <c r="T43" s="43" t="n"/>
      <c r="U43" s="43" t="n"/>
      <c r="V43" s="43" t="n"/>
      <c r="W43" s="43" t="n"/>
      <c r="X43" s="43" t="n"/>
      <c r="Y43" s="43" t="n"/>
      <c r="Z43" s="43" t="n"/>
      <c r="AA43" s="43" t="n"/>
      <c r="AB43" s="43" t="n"/>
      <c r="AC43" s="43" t="n"/>
      <c r="AD43" s="43" t="n"/>
      <c r="AE43" s="44" t="n"/>
      <c r="AF43" s="43" t="n"/>
      <c r="AG43" s="43" t="n"/>
      <c r="AH43" s="44" t="n"/>
      <c r="AI43" s="43" t="n"/>
      <c r="AJ43" s="43" t="n"/>
      <c r="AK43" s="43" t="n"/>
      <c r="AL43" s="43" t="n"/>
      <c r="AM43" s="43" t="n"/>
      <c r="AN43" s="43" t="n"/>
      <c r="AO43" s="43" t="n"/>
      <c r="AP43" s="43" t="n"/>
      <c r="AQ43" s="43" t="n"/>
      <c r="AR43" s="43" t="n"/>
      <c r="AS43" s="43" t="n"/>
      <c r="AT43" s="43" t="n"/>
      <c r="AU43" s="43" t="n"/>
      <c r="AV43" s="43" t="n"/>
      <c r="AW43" s="43" t="n"/>
      <c r="AX43" s="43" t="n"/>
      <c r="AY43" s="43" t="n"/>
      <c r="AZ43" s="43" t="n"/>
      <c r="BA43" s="43" t="n"/>
      <c r="BB43" s="43" t="n"/>
      <c r="BC43" s="43" t="n"/>
      <c r="BD43" s="43" t="n"/>
      <c r="BE43" s="43" t="n"/>
      <c r="BF43" s="43" t="n"/>
      <c r="BG43" s="43" t="n"/>
      <c r="BH43" s="43" t="n"/>
      <c r="BI43" s="43" t="n"/>
      <c r="BJ43" s="43" t="n"/>
      <c r="BK43" s="43" t="n"/>
      <c r="BL43" s="43" t="n"/>
      <c r="BM43" s="43" t="n"/>
      <c r="BN43" s="43" t="n"/>
      <c r="BO43" s="43" t="n"/>
      <c r="BP43" s="43" t="n"/>
      <c r="BQ43" s="43" t="n"/>
      <c r="BR43" s="43" t="n"/>
      <c r="BS43" s="43" t="n"/>
      <c r="BT43" s="43" t="n"/>
      <c r="BU43" s="43" t="n"/>
      <c r="BV43" s="43" t="n"/>
      <c r="BW43" s="43" t="n"/>
      <c r="BX43" s="43" t="n"/>
      <c r="BY43" s="43" t="n"/>
      <c r="BZ43" s="43" t="n"/>
      <c r="CA43" s="43" t="n"/>
      <c r="CB43" s="43" t="n"/>
      <c r="CC43" s="43" t="n"/>
      <c r="CD43" s="43" t="n"/>
      <c r="CE43" s="43" t="n"/>
      <c r="CF43" s="43" t="n"/>
      <c r="CG43" s="43" t="n"/>
      <c r="CH43" s="43" t="n"/>
      <c r="CI43" s="43" t="n"/>
      <c r="CJ43" s="43" t="n"/>
      <c r="CK43" s="43" t="n"/>
      <c r="CL43" s="43" t="n"/>
      <c r="CM43" s="43" t="n"/>
      <c r="CN43" s="43" t="n"/>
      <c r="CO43" s="43" t="n"/>
      <c r="CP43" s="43" t="n"/>
      <c r="CQ43" s="43" t="n"/>
      <c r="CR43" s="43" t="n"/>
      <c r="CS43" s="43" t="n"/>
      <c r="CT43" s="43" t="n"/>
      <c r="CU43" s="43" t="n"/>
      <c r="CV43" s="43" t="n"/>
      <c r="CW43" s="43" t="n"/>
      <c r="CX43" s="43" t="n"/>
      <c r="CY43" s="43" t="n"/>
      <c r="CZ43" s="43" t="n"/>
      <c r="DA43" s="43" t="n"/>
      <c r="DB43" s="45">
        <f>IF(C43="","",COUNTA(AI43,AL43,AO43,AR43))</f>
        <v/>
      </c>
      <c r="DC43" s="45">
        <f>IF(C43="","",COUNTA(BM43,BO43,BQ43,BS43,BU43,BW43,BY43,CA43))</f>
        <v/>
      </c>
      <c r="DD43" s="45">
        <f>IF(C43="","",COUNTIF(AV43:BL43,"Yes"))</f>
        <v/>
      </c>
      <c r="DE43" s="45">
        <f>IF(C43="","",COUNTIF(CV43:CZ43,"Yes"))</f>
        <v/>
      </c>
    </row>
    <row r="44">
      <c r="A44" s="43" t="n"/>
      <c r="B44" s="44" t="n"/>
      <c r="C44" s="43" t="n"/>
      <c r="D44" s="43" t="n"/>
      <c r="E44" s="43" t="n"/>
      <c r="F44" s="43" t="n"/>
      <c r="G44" s="44" t="n"/>
      <c r="H44" s="43" t="n"/>
      <c r="I44" s="43" t="n"/>
      <c r="J44" s="43" t="n"/>
      <c r="K44" s="43" t="n"/>
      <c r="L44" s="43" t="n"/>
      <c r="M44" s="43" t="n"/>
      <c r="N44" s="43" t="n"/>
      <c r="O44" s="43" t="n"/>
      <c r="P44" s="43" t="n"/>
      <c r="Q44" s="43" t="n"/>
      <c r="R44" s="43" t="n"/>
      <c r="S44" s="43" t="n"/>
      <c r="T44" s="43" t="n"/>
      <c r="U44" s="43" t="n"/>
      <c r="V44" s="43" t="n"/>
      <c r="W44" s="43" t="n"/>
      <c r="X44" s="43" t="n"/>
      <c r="Y44" s="43" t="n"/>
      <c r="Z44" s="43" t="n"/>
      <c r="AA44" s="43" t="n"/>
      <c r="AB44" s="43" t="n"/>
      <c r="AC44" s="43" t="n"/>
      <c r="AD44" s="43" t="n"/>
      <c r="AE44" s="44" t="n"/>
      <c r="AF44" s="43" t="n"/>
      <c r="AG44" s="43" t="n"/>
      <c r="AH44" s="44" t="n"/>
      <c r="AI44" s="43" t="n"/>
      <c r="AJ44" s="43" t="n"/>
      <c r="AK44" s="43" t="n"/>
      <c r="AL44" s="43" t="n"/>
      <c r="AM44" s="43" t="n"/>
      <c r="AN44" s="43" t="n"/>
      <c r="AO44" s="43" t="n"/>
      <c r="AP44" s="43" t="n"/>
      <c r="AQ44" s="43" t="n"/>
      <c r="AR44" s="43" t="n"/>
      <c r="AS44" s="43" t="n"/>
      <c r="AT44" s="43" t="n"/>
      <c r="AU44" s="43" t="n"/>
      <c r="AV44" s="43" t="n"/>
      <c r="AW44" s="43" t="n"/>
      <c r="AX44" s="43" t="n"/>
      <c r="AY44" s="43" t="n"/>
      <c r="AZ44" s="43" t="n"/>
      <c r="BA44" s="43" t="n"/>
      <c r="BB44" s="43" t="n"/>
      <c r="BC44" s="43" t="n"/>
      <c r="BD44" s="43" t="n"/>
      <c r="BE44" s="43" t="n"/>
      <c r="BF44" s="43" t="n"/>
      <c r="BG44" s="43" t="n"/>
      <c r="BH44" s="43" t="n"/>
      <c r="BI44" s="43" t="n"/>
      <c r="BJ44" s="43" t="n"/>
      <c r="BK44" s="43" t="n"/>
      <c r="BL44" s="43" t="n"/>
      <c r="BM44" s="43" t="n"/>
      <c r="BN44" s="43" t="n"/>
      <c r="BO44" s="43" t="n"/>
      <c r="BP44" s="43" t="n"/>
      <c r="BQ44" s="43" t="n"/>
      <c r="BR44" s="43" t="n"/>
      <c r="BS44" s="43" t="n"/>
      <c r="BT44" s="43" t="n"/>
      <c r="BU44" s="43" t="n"/>
      <c r="BV44" s="43" t="n"/>
      <c r="BW44" s="43" t="n"/>
      <c r="BX44" s="43" t="n"/>
      <c r="BY44" s="43" t="n"/>
      <c r="BZ44" s="43" t="n"/>
      <c r="CA44" s="43" t="n"/>
      <c r="CB44" s="43" t="n"/>
      <c r="CC44" s="43" t="n"/>
      <c r="CD44" s="43" t="n"/>
      <c r="CE44" s="43" t="n"/>
      <c r="CF44" s="43" t="n"/>
      <c r="CG44" s="43" t="n"/>
      <c r="CH44" s="43" t="n"/>
      <c r="CI44" s="43" t="n"/>
      <c r="CJ44" s="43" t="n"/>
      <c r="CK44" s="43" t="n"/>
      <c r="CL44" s="43" t="n"/>
      <c r="CM44" s="43" t="n"/>
      <c r="CN44" s="43" t="n"/>
      <c r="CO44" s="43" t="n"/>
      <c r="CP44" s="43" t="n"/>
      <c r="CQ44" s="43" t="n"/>
      <c r="CR44" s="43" t="n"/>
      <c r="CS44" s="43" t="n"/>
      <c r="CT44" s="43" t="n"/>
      <c r="CU44" s="43" t="n"/>
      <c r="CV44" s="43" t="n"/>
      <c r="CW44" s="43" t="n"/>
      <c r="CX44" s="43" t="n"/>
      <c r="CY44" s="43" t="n"/>
      <c r="CZ44" s="43" t="n"/>
      <c r="DA44" s="43" t="n"/>
      <c r="DB44" s="45">
        <f>IF(C44="","",COUNTA(AI44,AL44,AO44,AR44))</f>
        <v/>
      </c>
      <c r="DC44" s="45">
        <f>IF(C44="","",COUNTA(BM44,BO44,BQ44,BS44,BU44,BW44,BY44,CA44))</f>
        <v/>
      </c>
      <c r="DD44" s="45">
        <f>IF(C44="","",COUNTIF(AV44:BL44,"Yes"))</f>
        <v/>
      </c>
      <c r="DE44" s="45">
        <f>IF(C44="","",COUNTIF(CV44:CZ44,"Yes"))</f>
        <v/>
      </c>
    </row>
    <row r="45">
      <c r="A45" s="43" t="n"/>
      <c r="B45" s="44" t="n"/>
      <c r="C45" s="43" t="n"/>
      <c r="D45" s="43" t="n"/>
      <c r="E45" s="43" t="n"/>
      <c r="F45" s="43" t="n"/>
      <c r="G45" s="44" t="n"/>
      <c r="H45" s="43" t="n"/>
      <c r="I45" s="43" t="n"/>
      <c r="J45" s="43" t="n"/>
      <c r="K45" s="43" t="n"/>
      <c r="L45" s="43" t="n"/>
      <c r="M45" s="43" t="n"/>
      <c r="N45" s="43" t="n"/>
      <c r="O45" s="43" t="n"/>
      <c r="P45" s="43" t="n"/>
      <c r="Q45" s="43" t="n"/>
      <c r="R45" s="43" t="n"/>
      <c r="S45" s="43" t="n"/>
      <c r="T45" s="43" t="n"/>
      <c r="U45" s="43" t="n"/>
      <c r="V45" s="43" t="n"/>
      <c r="W45" s="43" t="n"/>
      <c r="X45" s="43" t="n"/>
      <c r="Y45" s="43" t="n"/>
      <c r="Z45" s="43" t="n"/>
      <c r="AA45" s="43" t="n"/>
      <c r="AB45" s="43" t="n"/>
      <c r="AC45" s="43" t="n"/>
      <c r="AD45" s="43" t="n"/>
      <c r="AE45" s="44" t="n"/>
      <c r="AF45" s="43" t="n"/>
      <c r="AG45" s="43" t="n"/>
      <c r="AH45" s="44" t="n"/>
      <c r="AI45" s="43" t="n"/>
      <c r="AJ45" s="43" t="n"/>
      <c r="AK45" s="43" t="n"/>
      <c r="AL45" s="43" t="n"/>
      <c r="AM45" s="43" t="n"/>
      <c r="AN45" s="43" t="n"/>
      <c r="AO45" s="43" t="n"/>
      <c r="AP45" s="43" t="n"/>
      <c r="AQ45" s="43" t="n"/>
      <c r="AR45" s="43" t="n"/>
      <c r="AS45" s="43" t="n"/>
      <c r="AT45" s="43" t="n"/>
      <c r="AU45" s="43" t="n"/>
      <c r="AV45" s="43" t="n"/>
      <c r="AW45" s="43" t="n"/>
      <c r="AX45" s="43" t="n"/>
      <c r="AY45" s="43" t="n"/>
      <c r="AZ45" s="43" t="n"/>
      <c r="BA45" s="43" t="n"/>
      <c r="BB45" s="43" t="n"/>
      <c r="BC45" s="43" t="n"/>
      <c r="BD45" s="43" t="n"/>
      <c r="BE45" s="43" t="n"/>
      <c r="BF45" s="43" t="n"/>
      <c r="BG45" s="43" t="n"/>
      <c r="BH45" s="43" t="n"/>
      <c r="BI45" s="43" t="n"/>
      <c r="BJ45" s="43" t="n"/>
      <c r="BK45" s="43" t="n"/>
      <c r="BL45" s="43" t="n"/>
      <c r="BM45" s="43" t="n"/>
      <c r="BN45" s="43" t="n"/>
      <c r="BO45" s="43" t="n"/>
      <c r="BP45" s="43" t="n"/>
      <c r="BQ45" s="43" t="n"/>
      <c r="BR45" s="43" t="n"/>
      <c r="BS45" s="43" t="n"/>
      <c r="BT45" s="43" t="n"/>
      <c r="BU45" s="43" t="n"/>
      <c r="BV45" s="43" t="n"/>
      <c r="BW45" s="43" t="n"/>
      <c r="BX45" s="43" t="n"/>
      <c r="BY45" s="43" t="n"/>
      <c r="BZ45" s="43" t="n"/>
      <c r="CA45" s="43" t="n"/>
      <c r="CB45" s="43" t="n"/>
      <c r="CC45" s="43" t="n"/>
      <c r="CD45" s="43" t="n"/>
      <c r="CE45" s="43" t="n"/>
      <c r="CF45" s="43" t="n"/>
      <c r="CG45" s="43" t="n"/>
      <c r="CH45" s="43" t="n"/>
      <c r="CI45" s="43" t="n"/>
      <c r="CJ45" s="43" t="n"/>
      <c r="CK45" s="43" t="n"/>
      <c r="CL45" s="43" t="n"/>
      <c r="CM45" s="43" t="n"/>
      <c r="CN45" s="43" t="n"/>
      <c r="CO45" s="43" t="n"/>
      <c r="CP45" s="43" t="n"/>
      <c r="CQ45" s="43" t="n"/>
      <c r="CR45" s="43" t="n"/>
      <c r="CS45" s="43" t="n"/>
      <c r="CT45" s="43" t="n"/>
      <c r="CU45" s="43" t="n"/>
      <c r="CV45" s="43" t="n"/>
      <c r="CW45" s="43" t="n"/>
      <c r="CX45" s="43" t="n"/>
      <c r="CY45" s="43" t="n"/>
      <c r="CZ45" s="43" t="n"/>
      <c r="DA45" s="43" t="n"/>
      <c r="DB45" s="45">
        <f>IF(C45="","",COUNTA(AI45,AL45,AO45,AR45))</f>
        <v/>
      </c>
      <c r="DC45" s="45">
        <f>IF(C45="","",COUNTA(BM45,BO45,BQ45,BS45,BU45,BW45,BY45,CA45))</f>
        <v/>
      </c>
      <c r="DD45" s="45">
        <f>IF(C45="","",COUNTIF(AV45:BL45,"Yes"))</f>
        <v/>
      </c>
      <c r="DE45" s="45">
        <f>IF(C45="","",COUNTIF(CV45:CZ45,"Yes"))</f>
        <v/>
      </c>
    </row>
    <row r="46">
      <c r="A46" s="43" t="n"/>
      <c r="B46" s="44" t="n"/>
      <c r="C46" s="43" t="n"/>
      <c r="D46" s="43" t="n"/>
      <c r="E46" s="43" t="n"/>
      <c r="F46" s="43" t="n"/>
      <c r="G46" s="44" t="n"/>
      <c r="H46" s="43" t="n"/>
      <c r="I46" s="43" t="n"/>
      <c r="J46" s="43" t="n"/>
      <c r="K46" s="43" t="n"/>
      <c r="L46" s="43" t="n"/>
      <c r="M46" s="43" t="n"/>
      <c r="N46" s="43" t="n"/>
      <c r="O46" s="43" t="n"/>
      <c r="P46" s="43" t="n"/>
      <c r="Q46" s="43" t="n"/>
      <c r="R46" s="43" t="n"/>
      <c r="S46" s="43" t="n"/>
      <c r="T46" s="43" t="n"/>
      <c r="U46" s="43" t="n"/>
      <c r="V46" s="43" t="n"/>
      <c r="W46" s="43" t="n"/>
      <c r="X46" s="43" t="n"/>
      <c r="Y46" s="43" t="n"/>
      <c r="Z46" s="43" t="n"/>
      <c r="AA46" s="43" t="n"/>
      <c r="AB46" s="43" t="n"/>
      <c r="AC46" s="43" t="n"/>
      <c r="AD46" s="43" t="n"/>
      <c r="AE46" s="44" t="n"/>
      <c r="AF46" s="43" t="n"/>
      <c r="AG46" s="43" t="n"/>
      <c r="AH46" s="44" t="n"/>
      <c r="AI46" s="43" t="n"/>
      <c r="AJ46" s="43" t="n"/>
      <c r="AK46" s="43" t="n"/>
      <c r="AL46" s="43" t="n"/>
      <c r="AM46" s="43" t="n"/>
      <c r="AN46" s="43" t="n"/>
      <c r="AO46" s="43" t="n"/>
      <c r="AP46" s="43" t="n"/>
      <c r="AQ46" s="43" t="n"/>
      <c r="AR46" s="43" t="n"/>
      <c r="AS46" s="43" t="n"/>
      <c r="AT46" s="43" t="n"/>
      <c r="AU46" s="43" t="n"/>
      <c r="AV46" s="43" t="n"/>
      <c r="AW46" s="43" t="n"/>
      <c r="AX46" s="43" t="n"/>
      <c r="AY46" s="43" t="n"/>
      <c r="AZ46" s="43" t="n"/>
      <c r="BA46" s="43" t="n"/>
      <c r="BB46" s="43" t="n"/>
      <c r="BC46" s="43" t="n"/>
      <c r="BD46" s="43" t="n"/>
      <c r="BE46" s="43" t="n"/>
      <c r="BF46" s="43" t="n"/>
      <c r="BG46" s="43" t="n"/>
      <c r="BH46" s="43" t="n"/>
      <c r="BI46" s="43" t="n"/>
      <c r="BJ46" s="43" t="n"/>
      <c r="BK46" s="43" t="n"/>
      <c r="BL46" s="43" t="n"/>
      <c r="BM46" s="43" t="n"/>
      <c r="BN46" s="43" t="n"/>
      <c r="BO46" s="43" t="n"/>
      <c r="BP46" s="43" t="n"/>
      <c r="BQ46" s="43" t="n"/>
      <c r="BR46" s="43" t="n"/>
      <c r="BS46" s="43" t="n"/>
      <c r="BT46" s="43" t="n"/>
      <c r="BU46" s="43" t="n"/>
      <c r="BV46" s="43" t="n"/>
      <c r="BW46" s="43" t="n"/>
      <c r="BX46" s="43" t="n"/>
      <c r="BY46" s="43" t="n"/>
      <c r="BZ46" s="43" t="n"/>
      <c r="CA46" s="43" t="n"/>
      <c r="CB46" s="43" t="n"/>
      <c r="CC46" s="43" t="n"/>
      <c r="CD46" s="43" t="n"/>
      <c r="CE46" s="43" t="n"/>
      <c r="CF46" s="43" t="n"/>
      <c r="CG46" s="43" t="n"/>
      <c r="CH46" s="43" t="n"/>
      <c r="CI46" s="43" t="n"/>
      <c r="CJ46" s="43" t="n"/>
      <c r="CK46" s="43" t="n"/>
      <c r="CL46" s="43" t="n"/>
      <c r="CM46" s="43" t="n"/>
      <c r="CN46" s="43" t="n"/>
      <c r="CO46" s="43" t="n"/>
      <c r="CP46" s="43" t="n"/>
      <c r="CQ46" s="43" t="n"/>
      <c r="CR46" s="43" t="n"/>
      <c r="CS46" s="43" t="n"/>
      <c r="CT46" s="43" t="n"/>
      <c r="CU46" s="43" t="n"/>
      <c r="CV46" s="43" t="n"/>
      <c r="CW46" s="43" t="n"/>
      <c r="CX46" s="43" t="n"/>
      <c r="CY46" s="43" t="n"/>
      <c r="CZ46" s="43" t="n"/>
      <c r="DA46" s="43" t="n"/>
      <c r="DB46" s="45">
        <f>IF(C46="","",COUNTA(AI46,AL46,AO46,AR46))</f>
        <v/>
      </c>
      <c r="DC46" s="45">
        <f>IF(C46="","",COUNTA(BM46,BO46,BQ46,BS46,BU46,BW46,BY46,CA46))</f>
        <v/>
      </c>
      <c r="DD46" s="45">
        <f>IF(C46="","",COUNTIF(AV46:BL46,"Yes"))</f>
        <v/>
      </c>
      <c r="DE46" s="45">
        <f>IF(C46="","",COUNTIF(CV46:CZ46,"Yes"))</f>
        <v/>
      </c>
    </row>
    <row r="47">
      <c r="A47" s="43" t="n"/>
      <c r="B47" s="44" t="n"/>
      <c r="C47" s="43" t="n"/>
      <c r="D47" s="43" t="n"/>
      <c r="E47" s="43" t="n"/>
      <c r="F47" s="43" t="n"/>
      <c r="G47" s="44" t="n"/>
      <c r="H47" s="43" t="n"/>
      <c r="I47" s="43" t="n"/>
      <c r="J47" s="43" t="n"/>
      <c r="K47" s="43" t="n"/>
      <c r="L47" s="43" t="n"/>
      <c r="M47" s="43" t="n"/>
      <c r="N47" s="43" t="n"/>
      <c r="O47" s="43" t="n"/>
      <c r="P47" s="43" t="n"/>
      <c r="Q47" s="43" t="n"/>
      <c r="R47" s="43" t="n"/>
      <c r="S47" s="43" t="n"/>
      <c r="T47" s="43" t="n"/>
      <c r="U47" s="43" t="n"/>
      <c r="V47" s="43" t="n"/>
      <c r="W47" s="43" t="n"/>
      <c r="X47" s="43" t="n"/>
      <c r="Y47" s="43" t="n"/>
      <c r="Z47" s="43" t="n"/>
      <c r="AA47" s="43" t="n"/>
      <c r="AB47" s="43" t="n"/>
      <c r="AC47" s="43" t="n"/>
      <c r="AD47" s="43" t="n"/>
      <c r="AE47" s="44" t="n"/>
      <c r="AF47" s="43" t="n"/>
      <c r="AG47" s="43" t="n"/>
      <c r="AH47" s="44" t="n"/>
      <c r="AI47" s="43" t="n"/>
      <c r="AJ47" s="43" t="n"/>
      <c r="AK47" s="43" t="n"/>
      <c r="AL47" s="43" t="n"/>
      <c r="AM47" s="43" t="n"/>
      <c r="AN47" s="43" t="n"/>
      <c r="AO47" s="43" t="n"/>
      <c r="AP47" s="43" t="n"/>
      <c r="AQ47" s="43" t="n"/>
      <c r="AR47" s="43" t="n"/>
      <c r="AS47" s="43" t="n"/>
      <c r="AT47" s="43" t="n"/>
      <c r="AU47" s="43" t="n"/>
      <c r="AV47" s="43" t="n"/>
      <c r="AW47" s="43" t="n"/>
      <c r="AX47" s="43" t="n"/>
      <c r="AY47" s="43" t="n"/>
      <c r="AZ47" s="43" t="n"/>
      <c r="BA47" s="43" t="n"/>
      <c r="BB47" s="43" t="n"/>
      <c r="BC47" s="43" t="n"/>
      <c r="BD47" s="43" t="n"/>
      <c r="BE47" s="43" t="n"/>
      <c r="BF47" s="43" t="n"/>
      <c r="BG47" s="43" t="n"/>
      <c r="BH47" s="43" t="n"/>
      <c r="BI47" s="43" t="n"/>
      <c r="BJ47" s="43" t="n"/>
      <c r="BK47" s="43" t="n"/>
      <c r="BL47" s="43" t="n"/>
      <c r="BM47" s="43" t="n"/>
      <c r="BN47" s="43" t="n"/>
      <c r="BO47" s="43" t="n"/>
      <c r="BP47" s="43" t="n"/>
      <c r="BQ47" s="43" t="n"/>
      <c r="BR47" s="43" t="n"/>
      <c r="BS47" s="43" t="n"/>
      <c r="BT47" s="43" t="n"/>
      <c r="BU47" s="43" t="n"/>
      <c r="BV47" s="43" t="n"/>
      <c r="BW47" s="43" t="n"/>
      <c r="BX47" s="43" t="n"/>
      <c r="BY47" s="43" t="n"/>
      <c r="BZ47" s="43" t="n"/>
      <c r="CA47" s="43" t="n"/>
      <c r="CB47" s="43" t="n"/>
      <c r="CC47" s="43" t="n"/>
      <c r="CD47" s="43" t="n"/>
      <c r="CE47" s="43" t="n"/>
      <c r="CF47" s="43" t="n"/>
      <c r="CG47" s="43" t="n"/>
      <c r="CH47" s="43" t="n"/>
      <c r="CI47" s="43" t="n"/>
      <c r="CJ47" s="43" t="n"/>
      <c r="CK47" s="43" t="n"/>
      <c r="CL47" s="43" t="n"/>
      <c r="CM47" s="43" t="n"/>
      <c r="CN47" s="43" t="n"/>
      <c r="CO47" s="43" t="n"/>
      <c r="CP47" s="43" t="n"/>
      <c r="CQ47" s="43" t="n"/>
      <c r="CR47" s="43" t="n"/>
      <c r="CS47" s="43" t="n"/>
      <c r="CT47" s="43" t="n"/>
      <c r="CU47" s="43" t="n"/>
      <c r="CV47" s="43" t="n"/>
      <c r="CW47" s="43" t="n"/>
      <c r="CX47" s="43" t="n"/>
      <c r="CY47" s="43" t="n"/>
      <c r="CZ47" s="43" t="n"/>
      <c r="DA47" s="43" t="n"/>
      <c r="DB47" s="45">
        <f>IF(C47="","",COUNTA(AI47,AL47,AO47,AR47))</f>
        <v/>
      </c>
      <c r="DC47" s="45">
        <f>IF(C47="","",COUNTA(BM47,BO47,BQ47,BS47,BU47,BW47,BY47,CA47))</f>
        <v/>
      </c>
      <c r="DD47" s="45">
        <f>IF(C47="","",COUNTIF(AV47:BL47,"Yes"))</f>
        <v/>
      </c>
      <c r="DE47" s="45">
        <f>IF(C47="","",COUNTIF(CV47:CZ47,"Yes"))</f>
        <v/>
      </c>
    </row>
    <row r="48">
      <c r="A48" s="43" t="n"/>
      <c r="B48" s="44" t="n"/>
      <c r="C48" s="43" t="n"/>
      <c r="D48" s="43" t="n"/>
      <c r="E48" s="43" t="n"/>
      <c r="F48" s="43" t="n"/>
      <c r="G48" s="44" t="n"/>
      <c r="H48" s="43" t="n"/>
      <c r="I48" s="43" t="n"/>
      <c r="J48" s="43" t="n"/>
      <c r="K48" s="43" t="n"/>
      <c r="L48" s="43" t="n"/>
      <c r="M48" s="43" t="n"/>
      <c r="N48" s="43" t="n"/>
      <c r="O48" s="43" t="n"/>
      <c r="P48" s="43" t="n"/>
      <c r="Q48" s="43" t="n"/>
      <c r="R48" s="43" t="n"/>
      <c r="S48" s="43" t="n"/>
      <c r="T48" s="43" t="n"/>
      <c r="U48" s="43" t="n"/>
      <c r="V48" s="43" t="n"/>
      <c r="W48" s="43" t="n"/>
      <c r="X48" s="43" t="n"/>
      <c r="Y48" s="43" t="n"/>
      <c r="Z48" s="43" t="n"/>
      <c r="AA48" s="43" t="n"/>
      <c r="AB48" s="43" t="n"/>
      <c r="AC48" s="43" t="n"/>
      <c r="AD48" s="43" t="n"/>
      <c r="AE48" s="44" t="n"/>
      <c r="AF48" s="43" t="n"/>
      <c r="AG48" s="43" t="n"/>
      <c r="AH48" s="44" t="n"/>
      <c r="AI48" s="43" t="n"/>
      <c r="AJ48" s="43" t="n"/>
      <c r="AK48" s="43" t="n"/>
      <c r="AL48" s="43" t="n"/>
      <c r="AM48" s="43" t="n"/>
      <c r="AN48" s="43" t="n"/>
      <c r="AO48" s="43" t="n"/>
      <c r="AP48" s="43" t="n"/>
      <c r="AQ48" s="43" t="n"/>
      <c r="AR48" s="43" t="n"/>
      <c r="AS48" s="43" t="n"/>
      <c r="AT48" s="43" t="n"/>
      <c r="AU48" s="43" t="n"/>
      <c r="AV48" s="43" t="n"/>
      <c r="AW48" s="43" t="n"/>
      <c r="AX48" s="43" t="n"/>
      <c r="AY48" s="43" t="n"/>
      <c r="AZ48" s="43" t="n"/>
      <c r="BA48" s="43" t="n"/>
      <c r="BB48" s="43" t="n"/>
      <c r="BC48" s="43" t="n"/>
      <c r="BD48" s="43" t="n"/>
      <c r="BE48" s="43" t="n"/>
      <c r="BF48" s="43" t="n"/>
      <c r="BG48" s="43" t="n"/>
      <c r="BH48" s="43" t="n"/>
      <c r="BI48" s="43" t="n"/>
      <c r="BJ48" s="43" t="n"/>
      <c r="BK48" s="43" t="n"/>
      <c r="BL48" s="43" t="n"/>
      <c r="BM48" s="43" t="n"/>
      <c r="BN48" s="43" t="n"/>
      <c r="BO48" s="43" t="n"/>
      <c r="BP48" s="43" t="n"/>
      <c r="BQ48" s="43" t="n"/>
      <c r="BR48" s="43" t="n"/>
      <c r="BS48" s="43" t="n"/>
      <c r="BT48" s="43" t="n"/>
      <c r="BU48" s="43" t="n"/>
      <c r="BV48" s="43" t="n"/>
      <c r="BW48" s="43" t="n"/>
      <c r="BX48" s="43" t="n"/>
      <c r="BY48" s="43" t="n"/>
      <c r="BZ48" s="43" t="n"/>
      <c r="CA48" s="43" t="n"/>
      <c r="CB48" s="43" t="n"/>
      <c r="CC48" s="43" t="n"/>
      <c r="CD48" s="43" t="n"/>
      <c r="CE48" s="43" t="n"/>
      <c r="CF48" s="43" t="n"/>
      <c r="CG48" s="43" t="n"/>
      <c r="CH48" s="43" t="n"/>
      <c r="CI48" s="43" t="n"/>
      <c r="CJ48" s="43" t="n"/>
      <c r="CK48" s="43" t="n"/>
      <c r="CL48" s="43" t="n"/>
      <c r="CM48" s="43" t="n"/>
      <c r="CN48" s="43" t="n"/>
      <c r="CO48" s="43" t="n"/>
      <c r="CP48" s="43" t="n"/>
      <c r="CQ48" s="43" t="n"/>
      <c r="CR48" s="43" t="n"/>
      <c r="CS48" s="43" t="n"/>
      <c r="CT48" s="43" t="n"/>
      <c r="CU48" s="43" t="n"/>
      <c r="CV48" s="43" t="n"/>
      <c r="CW48" s="43" t="n"/>
      <c r="CX48" s="43" t="n"/>
      <c r="CY48" s="43" t="n"/>
      <c r="CZ48" s="43" t="n"/>
      <c r="DA48" s="43" t="n"/>
      <c r="DB48" s="45">
        <f>IF(C48="","",COUNTA(AI48,AL48,AO48,AR48))</f>
        <v/>
      </c>
      <c r="DC48" s="45">
        <f>IF(C48="","",COUNTA(BM48,BO48,BQ48,BS48,BU48,BW48,BY48,CA48))</f>
        <v/>
      </c>
      <c r="DD48" s="45">
        <f>IF(C48="","",COUNTIF(AV48:BL48,"Yes"))</f>
        <v/>
      </c>
      <c r="DE48" s="45">
        <f>IF(C48="","",COUNTIF(CV48:CZ48,"Yes"))</f>
        <v/>
      </c>
    </row>
    <row r="49">
      <c r="A49" s="43" t="n"/>
      <c r="B49" s="44" t="n"/>
      <c r="C49" s="43" t="n"/>
      <c r="D49" s="43" t="n"/>
      <c r="E49" s="43" t="n"/>
      <c r="F49" s="43" t="n"/>
      <c r="G49" s="44" t="n"/>
      <c r="H49" s="43" t="n"/>
      <c r="I49" s="43" t="n"/>
      <c r="J49" s="43" t="n"/>
      <c r="K49" s="43" t="n"/>
      <c r="L49" s="43" t="n"/>
      <c r="M49" s="43" t="n"/>
      <c r="N49" s="43" t="n"/>
      <c r="O49" s="43" t="n"/>
      <c r="P49" s="43" t="n"/>
      <c r="Q49" s="43" t="n"/>
      <c r="R49" s="43" t="n"/>
      <c r="S49" s="43" t="n"/>
      <c r="T49" s="43" t="n"/>
      <c r="U49" s="43" t="n"/>
      <c r="V49" s="43" t="n"/>
      <c r="W49" s="43" t="n"/>
      <c r="X49" s="43" t="n"/>
      <c r="Y49" s="43" t="n"/>
      <c r="Z49" s="43" t="n"/>
      <c r="AA49" s="43" t="n"/>
      <c r="AB49" s="43" t="n"/>
      <c r="AC49" s="43" t="n"/>
      <c r="AD49" s="43" t="n"/>
      <c r="AE49" s="44" t="n"/>
      <c r="AF49" s="43" t="n"/>
      <c r="AG49" s="43" t="n"/>
      <c r="AH49" s="44" t="n"/>
      <c r="AI49" s="43" t="n"/>
      <c r="AJ49" s="43" t="n"/>
      <c r="AK49" s="43" t="n"/>
      <c r="AL49" s="43" t="n"/>
      <c r="AM49" s="43" t="n"/>
      <c r="AN49" s="43" t="n"/>
      <c r="AO49" s="43" t="n"/>
      <c r="AP49" s="43" t="n"/>
      <c r="AQ49" s="43" t="n"/>
      <c r="AR49" s="43" t="n"/>
      <c r="AS49" s="43" t="n"/>
      <c r="AT49" s="43" t="n"/>
      <c r="AU49" s="43" t="n"/>
      <c r="AV49" s="43" t="n"/>
      <c r="AW49" s="43" t="n"/>
      <c r="AX49" s="43" t="n"/>
      <c r="AY49" s="43" t="n"/>
      <c r="AZ49" s="43" t="n"/>
      <c r="BA49" s="43" t="n"/>
      <c r="BB49" s="43" t="n"/>
      <c r="BC49" s="43" t="n"/>
      <c r="BD49" s="43" t="n"/>
      <c r="BE49" s="43" t="n"/>
      <c r="BF49" s="43" t="n"/>
      <c r="BG49" s="43" t="n"/>
      <c r="BH49" s="43" t="n"/>
      <c r="BI49" s="43" t="n"/>
      <c r="BJ49" s="43" t="n"/>
      <c r="BK49" s="43" t="n"/>
      <c r="BL49" s="43" t="n"/>
      <c r="BM49" s="43" t="n"/>
      <c r="BN49" s="43" t="n"/>
      <c r="BO49" s="43" t="n"/>
      <c r="BP49" s="43" t="n"/>
      <c r="BQ49" s="43" t="n"/>
      <c r="BR49" s="43" t="n"/>
      <c r="BS49" s="43" t="n"/>
      <c r="BT49" s="43" t="n"/>
      <c r="BU49" s="43" t="n"/>
      <c r="BV49" s="43" t="n"/>
      <c r="BW49" s="43" t="n"/>
      <c r="BX49" s="43" t="n"/>
      <c r="BY49" s="43" t="n"/>
      <c r="BZ49" s="43" t="n"/>
      <c r="CA49" s="43" t="n"/>
      <c r="CB49" s="43" t="n"/>
      <c r="CC49" s="43" t="n"/>
      <c r="CD49" s="43" t="n"/>
      <c r="CE49" s="43" t="n"/>
      <c r="CF49" s="43" t="n"/>
      <c r="CG49" s="43" t="n"/>
      <c r="CH49" s="43" t="n"/>
      <c r="CI49" s="43" t="n"/>
      <c r="CJ49" s="43" t="n"/>
      <c r="CK49" s="43" t="n"/>
      <c r="CL49" s="43" t="n"/>
      <c r="CM49" s="43" t="n"/>
      <c r="CN49" s="43" t="n"/>
      <c r="CO49" s="43" t="n"/>
      <c r="CP49" s="43" t="n"/>
      <c r="CQ49" s="43" t="n"/>
      <c r="CR49" s="43" t="n"/>
      <c r="CS49" s="43" t="n"/>
      <c r="CT49" s="43" t="n"/>
      <c r="CU49" s="43" t="n"/>
      <c r="CV49" s="43" t="n"/>
      <c r="CW49" s="43" t="n"/>
      <c r="CX49" s="43" t="n"/>
      <c r="CY49" s="43" t="n"/>
      <c r="CZ49" s="43" t="n"/>
      <c r="DA49" s="43" t="n"/>
      <c r="DB49" s="45">
        <f>IF(C49="","",COUNTA(AI49,AL49,AO49,AR49))</f>
        <v/>
      </c>
      <c r="DC49" s="45">
        <f>IF(C49="","",COUNTA(BM49,BO49,BQ49,BS49,BU49,BW49,BY49,CA49))</f>
        <v/>
      </c>
      <c r="DD49" s="45">
        <f>IF(C49="","",COUNTIF(AV49:BL49,"Yes"))</f>
        <v/>
      </c>
      <c r="DE49" s="45">
        <f>IF(C49="","",COUNTIF(CV49:CZ49,"Yes"))</f>
        <v/>
      </c>
    </row>
    <row r="50">
      <c r="A50" s="43" t="n"/>
      <c r="B50" s="44" t="n"/>
      <c r="C50" s="43" t="n"/>
      <c r="D50" s="43" t="n"/>
      <c r="E50" s="43" t="n"/>
      <c r="F50" s="43" t="n"/>
      <c r="G50" s="44" t="n"/>
      <c r="H50" s="43" t="n"/>
      <c r="I50" s="43" t="n"/>
      <c r="J50" s="43" t="n"/>
      <c r="K50" s="43" t="n"/>
      <c r="L50" s="43" t="n"/>
      <c r="M50" s="43" t="n"/>
      <c r="N50" s="43" t="n"/>
      <c r="O50" s="43" t="n"/>
      <c r="P50" s="43" t="n"/>
      <c r="Q50" s="43" t="n"/>
      <c r="R50" s="43" t="n"/>
      <c r="S50" s="43" t="n"/>
      <c r="T50" s="43" t="n"/>
      <c r="U50" s="43" t="n"/>
      <c r="V50" s="43" t="n"/>
      <c r="W50" s="43" t="n"/>
      <c r="X50" s="43" t="n"/>
      <c r="Y50" s="43" t="n"/>
      <c r="Z50" s="43" t="n"/>
      <c r="AA50" s="43" t="n"/>
      <c r="AB50" s="43" t="n"/>
      <c r="AC50" s="43" t="n"/>
      <c r="AD50" s="43" t="n"/>
      <c r="AE50" s="44" t="n"/>
      <c r="AF50" s="43" t="n"/>
      <c r="AG50" s="43" t="n"/>
      <c r="AH50" s="44" t="n"/>
      <c r="AI50" s="43" t="n"/>
      <c r="AJ50" s="43" t="n"/>
      <c r="AK50" s="43" t="n"/>
      <c r="AL50" s="43" t="n"/>
      <c r="AM50" s="43" t="n"/>
      <c r="AN50" s="43" t="n"/>
      <c r="AO50" s="43" t="n"/>
      <c r="AP50" s="43" t="n"/>
      <c r="AQ50" s="43" t="n"/>
      <c r="AR50" s="43" t="n"/>
      <c r="AS50" s="43" t="n"/>
      <c r="AT50" s="43" t="n"/>
      <c r="AU50" s="43" t="n"/>
      <c r="AV50" s="43" t="n"/>
      <c r="AW50" s="43" t="n"/>
      <c r="AX50" s="43" t="n"/>
      <c r="AY50" s="43" t="n"/>
      <c r="AZ50" s="43" t="n"/>
      <c r="BA50" s="43" t="n"/>
      <c r="BB50" s="43" t="n"/>
      <c r="BC50" s="43" t="n"/>
      <c r="BD50" s="43" t="n"/>
      <c r="BE50" s="43" t="n"/>
      <c r="BF50" s="43" t="n"/>
      <c r="BG50" s="43" t="n"/>
      <c r="BH50" s="43" t="n"/>
      <c r="BI50" s="43" t="n"/>
      <c r="BJ50" s="43" t="n"/>
      <c r="BK50" s="43" t="n"/>
      <c r="BL50" s="43" t="n"/>
      <c r="BM50" s="43" t="n"/>
      <c r="BN50" s="43" t="n"/>
      <c r="BO50" s="43" t="n"/>
      <c r="BP50" s="43" t="n"/>
      <c r="BQ50" s="43" t="n"/>
      <c r="BR50" s="43" t="n"/>
      <c r="BS50" s="43" t="n"/>
      <c r="BT50" s="43" t="n"/>
      <c r="BU50" s="43" t="n"/>
      <c r="BV50" s="43" t="n"/>
      <c r="BW50" s="43" t="n"/>
      <c r="BX50" s="43" t="n"/>
      <c r="BY50" s="43" t="n"/>
      <c r="BZ50" s="43" t="n"/>
      <c r="CA50" s="43" t="n"/>
      <c r="CB50" s="43" t="n"/>
      <c r="CC50" s="43" t="n"/>
      <c r="CD50" s="43" t="n"/>
      <c r="CE50" s="43" t="n"/>
      <c r="CF50" s="43" t="n"/>
      <c r="CG50" s="43" t="n"/>
      <c r="CH50" s="43" t="n"/>
      <c r="CI50" s="43" t="n"/>
      <c r="CJ50" s="43" t="n"/>
      <c r="CK50" s="43" t="n"/>
      <c r="CL50" s="43" t="n"/>
      <c r="CM50" s="43" t="n"/>
      <c r="CN50" s="43" t="n"/>
      <c r="CO50" s="43" t="n"/>
      <c r="CP50" s="43" t="n"/>
      <c r="CQ50" s="43" t="n"/>
      <c r="CR50" s="43" t="n"/>
      <c r="CS50" s="43" t="n"/>
      <c r="CT50" s="43" t="n"/>
      <c r="CU50" s="43" t="n"/>
      <c r="CV50" s="43" t="n"/>
      <c r="CW50" s="43" t="n"/>
      <c r="CX50" s="43" t="n"/>
      <c r="CY50" s="43" t="n"/>
      <c r="CZ50" s="43" t="n"/>
      <c r="DA50" s="43" t="n"/>
      <c r="DB50" s="45">
        <f>IF(C50="","",COUNTA(AI50,AL50,AO50,AR50))</f>
        <v/>
      </c>
      <c r="DC50" s="45">
        <f>IF(C50="","",COUNTA(BM50,BO50,BQ50,BS50,BU50,BW50,BY50,CA50))</f>
        <v/>
      </c>
      <c r="DD50" s="45">
        <f>IF(C50="","",COUNTIF(AV50:BL50,"Yes"))</f>
        <v/>
      </c>
      <c r="DE50" s="45">
        <f>IF(C50="","",COUNTIF(CV50:CZ50,"Yes"))</f>
        <v/>
      </c>
    </row>
    <row r="51">
      <c r="A51" s="43" t="n"/>
      <c r="B51" s="44" t="n"/>
      <c r="C51" s="43" t="n"/>
      <c r="D51" s="43" t="n"/>
      <c r="E51" s="43" t="n"/>
      <c r="F51" s="43" t="n"/>
      <c r="G51" s="44" t="n"/>
      <c r="H51" s="43" t="n"/>
      <c r="I51" s="43" t="n"/>
      <c r="J51" s="43" t="n"/>
      <c r="K51" s="43" t="n"/>
      <c r="L51" s="43" t="n"/>
      <c r="M51" s="43" t="n"/>
      <c r="N51" s="43" t="n"/>
      <c r="O51" s="43" t="n"/>
      <c r="P51" s="43" t="n"/>
      <c r="Q51" s="43" t="n"/>
      <c r="R51" s="43" t="n"/>
      <c r="S51" s="43" t="n"/>
      <c r="T51" s="43" t="n"/>
      <c r="U51" s="43" t="n"/>
      <c r="V51" s="43" t="n"/>
      <c r="W51" s="43" t="n"/>
      <c r="X51" s="43" t="n"/>
      <c r="Y51" s="43" t="n"/>
      <c r="Z51" s="43" t="n"/>
      <c r="AA51" s="43" t="n"/>
      <c r="AB51" s="43" t="n"/>
      <c r="AC51" s="43" t="n"/>
      <c r="AD51" s="43" t="n"/>
      <c r="AE51" s="44" t="n"/>
      <c r="AF51" s="43" t="n"/>
      <c r="AG51" s="43" t="n"/>
      <c r="AH51" s="44" t="n"/>
      <c r="AI51" s="43" t="n"/>
      <c r="AJ51" s="43" t="n"/>
      <c r="AK51" s="43" t="n"/>
      <c r="AL51" s="43" t="n"/>
      <c r="AM51" s="43" t="n"/>
      <c r="AN51" s="43" t="n"/>
      <c r="AO51" s="43" t="n"/>
      <c r="AP51" s="43" t="n"/>
      <c r="AQ51" s="43" t="n"/>
      <c r="AR51" s="43" t="n"/>
      <c r="AS51" s="43" t="n"/>
      <c r="AT51" s="43" t="n"/>
      <c r="AU51" s="43" t="n"/>
      <c r="AV51" s="43" t="n"/>
      <c r="AW51" s="43" t="n"/>
      <c r="AX51" s="43" t="n"/>
      <c r="AY51" s="43" t="n"/>
      <c r="AZ51" s="43" t="n"/>
      <c r="BA51" s="43" t="n"/>
      <c r="BB51" s="43" t="n"/>
      <c r="BC51" s="43" t="n"/>
      <c r="BD51" s="43" t="n"/>
      <c r="BE51" s="43" t="n"/>
      <c r="BF51" s="43" t="n"/>
      <c r="BG51" s="43" t="n"/>
      <c r="BH51" s="43" t="n"/>
      <c r="BI51" s="43" t="n"/>
      <c r="BJ51" s="43" t="n"/>
      <c r="BK51" s="43" t="n"/>
      <c r="BL51" s="43" t="n"/>
      <c r="BM51" s="43" t="n"/>
      <c r="BN51" s="43" t="n"/>
      <c r="BO51" s="43" t="n"/>
      <c r="BP51" s="43" t="n"/>
      <c r="BQ51" s="43" t="n"/>
      <c r="BR51" s="43" t="n"/>
      <c r="BS51" s="43" t="n"/>
      <c r="BT51" s="43" t="n"/>
      <c r="BU51" s="43" t="n"/>
      <c r="BV51" s="43" t="n"/>
      <c r="BW51" s="43" t="n"/>
      <c r="BX51" s="43" t="n"/>
      <c r="BY51" s="43" t="n"/>
      <c r="BZ51" s="43" t="n"/>
      <c r="CA51" s="43" t="n"/>
      <c r="CB51" s="43" t="n"/>
      <c r="CC51" s="43" t="n"/>
      <c r="CD51" s="43" t="n"/>
      <c r="CE51" s="43" t="n"/>
      <c r="CF51" s="43" t="n"/>
      <c r="CG51" s="43" t="n"/>
      <c r="CH51" s="43" t="n"/>
      <c r="CI51" s="43" t="n"/>
      <c r="CJ51" s="43" t="n"/>
      <c r="CK51" s="43" t="n"/>
      <c r="CL51" s="43" t="n"/>
      <c r="CM51" s="43" t="n"/>
      <c r="CN51" s="43" t="n"/>
      <c r="CO51" s="43" t="n"/>
      <c r="CP51" s="43" t="n"/>
      <c r="CQ51" s="43" t="n"/>
      <c r="CR51" s="43" t="n"/>
      <c r="CS51" s="43" t="n"/>
      <c r="CT51" s="43" t="n"/>
      <c r="CU51" s="43" t="n"/>
      <c r="CV51" s="43" t="n"/>
      <c r="CW51" s="43" t="n"/>
      <c r="CX51" s="43" t="n"/>
      <c r="CY51" s="43" t="n"/>
      <c r="CZ51" s="43" t="n"/>
      <c r="DA51" s="43" t="n"/>
      <c r="DB51" s="45">
        <f>IF(C51="","",COUNTA(AI51,AL51,AO51,AR51))</f>
        <v/>
      </c>
      <c r="DC51" s="45">
        <f>IF(C51="","",COUNTA(BM51,BO51,BQ51,BS51,BU51,BW51,BY51,CA51))</f>
        <v/>
      </c>
      <c r="DD51" s="45">
        <f>IF(C51="","",COUNTIF(AV51:BL51,"Yes"))</f>
        <v/>
      </c>
      <c r="DE51" s="45">
        <f>IF(C51="","",COUNTIF(CV51:CZ51,"Yes"))</f>
        <v/>
      </c>
    </row>
    <row r="52">
      <c r="A52" s="43" t="n"/>
      <c r="B52" s="44" t="n"/>
      <c r="C52" s="43" t="n"/>
      <c r="D52" s="43" t="n"/>
      <c r="E52" s="43" t="n"/>
      <c r="F52" s="43" t="n"/>
      <c r="G52" s="44" t="n"/>
      <c r="H52" s="43" t="n"/>
      <c r="I52" s="43" t="n"/>
      <c r="J52" s="43" t="n"/>
      <c r="K52" s="43" t="n"/>
      <c r="L52" s="43" t="n"/>
      <c r="M52" s="43" t="n"/>
      <c r="N52" s="43" t="n"/>
      <c r="O52" s="43" t="n"/>
      <c r="P52" s="43" t="n"/>
      <c r="Q52" s="43" t="n"/>
      <c r="R52" s="43" t="n"/>
      <c r="S52" s="43" t="n"/>
      <c r="T52" s="43" t="n"/>
      <c r="U52" s="43" t="n"/>
      <c r="V52" s="43" t="n"/>
      <c r="W52" s="43" t="n"/>
      <c r="X52" s="43" t="n"/>
      <c r="Y52" s="43" t="n"/>
      <c r="Z52" s="43" t="n"/>
      <c r="AA52" s="43" t="n"/>
      <c r="AB52" s="43" t="n"/>
      <c r="AC52" s="43" t="n"/>
      <c r="AD52" s="43" t="n"/>
      <c r="AE52" s="44" t="n"/>
      <c r="AF52" s="43" t="n"/>
      <c r="AG52" s="43" t="n"/>
      <c r="AH52" s="44" t="n"/>
      <c r="AI52" s="43" t="n"/>
      <c r="AJ52" s="43" t="n"/>
      <c r="AK52" s="43" t="n"/>
      <c r="AL52" s="43" t="n"/>
      <c r="AM52" s="43" t="n"/>
      <c r="AN52" s="43" t="n"/>
      <c r="AO52" s="43" t="n"/>
      <c r="AP52" s="43" t="n"/>
      <c r="AQ52" s="43" t="n"/>
      <c r="AR52" s="43" t="n"/>
      <c r="AS52" s="43" t="n"/>
      <c r="AT52" s="43" t="n"/>
      <c r="AU52" s="43" t="n"/>
      <c r="AV52" s="43" t="n"/>
      <c r="AW52" s="43" t="n"/>
      <c r="AX52" s="43" t="n"/>
      <c r="AY52" s="43" t="n"/>
      <c r="AZ52" s="43" t="n"/>
      <c r="BA52" s="43" t="n"/>
      <c r="BB52" s="43" t="n"/>
      <c r="BC52" s="43" t="n"/>
      <c r="BD52" s="43" t="n"/>
      <c r="BE52" s="43" t="n"/>
      <c r="BF52" s="43" t="n"/>
      <c r="BG52" s="43" t="n"/>
      <c r="BH52" s="43" t="n"/>
      <c r="BI52" s="43" t="n"/>
      <c r="BJ52" s="43" t="n"/>
      <c r="BK52" s="43" t="n"/>
      <c r="BL52" s="43" t="n"/>
      <c r="BM52" s="43" t="n"/>
      <c r="BN52" s="43" t="n"/>
      <c r="BO52" s="43" t="n"/>
      <c r="BP52" s="43" t="n"/>
      <c r="BQ52" s="43" t="n"/>
      <c r="BR52" s="43" t="n"/>
      <c r="BS52" s="43" t="n"/>
      <c r="BT52" s="43" t="n"/>
      <c r="BU52" s="43" t="n"/>
      <c r="BV52" s="43" t="n"/>
      <c r="BW52" s="43" t="n"/>
      <c r="BX52" s="43" t="n"/>
      <c r="BY52" s="43" t="n"/>
      <c r="BZ52" s="43" t="n"/>
      <c r="CA52" s="43" t="n"/>
      <c r="CB52" s="43" t="n"/>
      <c r="CC52" s="43" t="n"/>
      <c r="CD52" s="43" t="n"/>
      <c r="CE52" s="43" t="n"/>
      <c r="CF52" s="43" t="n"/>
      <c r="CG52" s="43" t="n"/>
      <c r="CH52" s="43" t="n"/>
      <c r="CI52" s="43" t="n"/>
      <c r="CJ52" s="43" t="n"/>
      <c r="CK52" s="43" t="n"/>
      <c r="CL52" s="43" t="n"/>
      <c r="CM52" s="43" t="n"/>
      <c r="CN52" s="43" t="n"/>
      <c r="CO52" s="43" t="n"/>
      <c r="CP52" s="43" t="n"/>
      <c r="CQ52" s="43" t="n"/>
      <c r="CR52" s="43" t="n"/>
      <c r="CS52" s="43" t="n"/>
      <c r="CT52" s="43" t="n"/>
      <c r="CU52" s="43" t="n"/>
      <c r="CV52" s="43" t="n"/>
      <c r="CW52" s="43" t="n"/>
      <c r="CX52" s="43" t="n"/>
      <c r="CY52" s="43" t="n"/>
      <c r="CZ52" s="43" t="n"/>
      <c r="DA52" s="43" t="n"/>
      <c r="DB52" s="45">
        <f>IF(C52="","",COUNTA(AI52,AL52,AO52,AR52))</f>
        <v/>
      </c>
      <c r="DC52" s="45">
        <f>IF(C52="","",COUNTA(BM52,BO52,BQ52,BS52,BU52,BW52,BY52,CA52))</f>
        <v/>
      </c>
      <c r="DD52" s="45">
        <f>IF(C52="","",COUNTIF(AV52:BL52,"Yes"))</f>
        <v/>
      </c>
      <c r="DE52" s="45">
        <f>IF(C52="","",COUNTIF(CV52:CZ52,"Yes"))</f>
        <v/>
      </c>
    </row>
    <row r="53">
      <c r="A53" s="43" t="n"/>
      <c r="B53" s="44" t="n"/>
      <c r="C53" s="43" t="n"/>
      <c r="D53" s="43" t="n"/>
      <c r="E53" s="43" t="n"/>
      <c r="F53" s="43" t="n"/>
      <c r="G53" s="44" t="n"/>
      <c r="H53" s="43" t="n"/>
      <c r="I53" s="43" t="n"/>
      <c r="J53" s="43" t="n"/>
      <c r="K53" s="43" t="n"/>
      <c r="L53" s="43" t="n"/>
      <c r="M53" s="43" t="n"/>
      <c r="N53" s="43" t="n"/>
      <c r="O53" s="43" t="n"/>
      <c r="P53" s="43" t="n"/>
      <c r="Q53" s="43" t="n"/>
      <c r="R53" s="43" t="n"/>
      <c r="S53" s="43" t="n"/>
      <c r="T53" s="43" t="n"/>
      <c r="U53" s="43" t="n"/>
      <c r="V53" s="43" t="n"/>
      <c r="W53" s="43" t="n"/>
      <c r="X53" s="43" t="n"/>
      <c r="Y53" s="43" t="n"/>
      <c r="Z53" s="43" t="n"/>
      <c r="AA53" s="43" t="n"/>
      <c r="AB53" s="43" t="n"/>
      <c r="AC53" s="43" t="n"/>
      <c r="AD53" s="43" t="n"/>
      <c r="AE53" s="44" t="n"/>
      <c r="AF53" s="43" t="n"/>
      <c r="AG53" s="43" t="n"/>
      <c r="AH53" s="44" t="n"/>
      <c r="AI53" s="43" t="n"/>
      <c r="AJ53" s="43" t="n"/>
      <c r="AK53" s="43" t="n"/>
      <c r="AL53" s="43" t="n"/>
      <c r="AM53" s="43" t="n"/>
      <c r="AN53" s="43" t="n"/>
      <c r="AO53" s="43" t="n"/>
      <c r="AP53" s="43" t="n"/>
      <c r="AQ53" s="43" t="n"/>
      <c r="AR53" s="43" t="n"/>
      <c r="AS53" s="43" t="n"/>
      <c r="AT53" s="43" t="n"/>
      <c r="AU53" s="43" t="n"/>
      <c r="AV53" s="43" t="n"/>
      <c r="AW53" s="43" t="n"/>
      <c r="AX53" s="43" t="n"/>
      <c r="AY53" s="43" t="n"/>
      <c r="AZ53" s="43" t="n"/>
      <c r="BA53" s="43" t="n"/>
      <c r="BB53" s="43" t="n"/>
      <c r="BC53" s="43" t="n"/>
      <c r="BD53" s="43" t="n"/>
      <c r="BE53" s="43" t="n"/>
      <c r="BF53" s="43" t="n"/>
      <c r="BG53" s="43" t="n"/>
      <c r="BH53" s="43" t="n"/>
      <c r="BI53" s="43" t="n"/>
      <c r="BJ53" s="43" t="n"/>
      <c r="BK53" s="43" t="n"/>
      <c r="BL53" s="43" t="n"/>
      <c r="BM53" s="43" t="n"/>
      <c r="BN53" s="43" t="n"/>
      <c r="BO53" s="43" t="n"/>
      <c r="BP53" s="43" t="n"/>
      <c r="BQ53" s="43" t="n"/>
      <c r="BR53" s="43" t="n"/>
      <c r="BS53" s="43" t="n"/>
      <c r="BT53" s="43" t="n"/>
      <c r="BU53" s="43" t="n"/>
      <c r="BV53" s="43" t="n"/>
      <c r="BW53" s="43" t="n"/>
      <c r="BX53" s="43" t="n"/>
      <c r="BY53" s="43" t="n"/>
      <c r="BZ53" s="43" t="n"/>
      <c r="CA53" s="43" t="n"/>
      <c r="CB53" s="43" t="n"/>
      <c r="CC53" s="43" t="n"/>
      <c r="CD53" s="43" t="n"/>
      <c r="CE53" s="43" t="n"/>
      <c r="CF53" s="43" t="n"/>
      <c r="CG53" s="43" t="n"/>
      <c r="CH53" s="43" t="n"/>
      <c r="CI53" s="43" t="n"/>
      <c r="CJ53" s="43" t="n"/>
      <c r="CK53" s="43" t="n"/>
      <c r="CL53" s="43" t="n"/>
      <c r="CM53" s="43" t="n"/>
      <c r="CN53" s="43" t="n"/>
      <c r="CO53" s="43" t="n"/>
      <c r="CP53" s="43" t="n"/>
      <c r="CQ53" s="43" t="n"/>
      <c r="CR53" s="43" t="n"/>
      <c r="CS53" s="43" t="n"/>
      <c r="CT53" s="43" t="n"/>
      <c r="CU53" s="43" t="n"/>
      <c r="CV53" s="43" t="n"/>
      <c r="CW53" s="43" t="n"/>
      <c r="CX53" s="43" t="n"/>
      <c r="CY53" s="43" t="n"/>
      <c r="CZ53" s="43" t="n"/>
      <c r="DA53" s="43" t="n"/>
      <c r="DB53" s="45">
        <f>IF(C53="","",COUNTA(AI53,AL53,AO53,AR53))</f>
        <v/>
      </c>
      <c r="DC53" s="45">
        <f>IF(C53="","",COUNTA(BM53,BO53,BQ53,BS53,BU53,BW53,BY53,CA53))</f>
        <v/>
      </c>
      <c r="DD53" s="45">
        <f>IF(C53="","",COUNTIF(AV53:BL53,"Yes"))</f>
        <v/>
      </c>
      <c r="DE53" s="45">
        <f>IF(C53="","",COUNTIF(CV53:CZ53,"Yes"))</f>
        <v/>
      </c>
    </row>
    <row r="54">
      <c r="A54" s="43" t="n"/>
      <c r="B54" s="44" t="n"/>
      <c r="C54" s="43" t="n"/>
      <c r="D54" s="43" t="n"/>
      <c r="E54" s="43" t="n"/>
      <c r="F54" s="43" t="n"/>
      <c r="G54" s="44" t="n"/>
      <c r="H54" s="43" t="n"/>
      <c r="I54" s="43" t="n"/>
      <c r="J54" s="43" t="n"/>
      <c r="K54" s="43" t="n"/>
      <c r="L54" s="43" t="n"/>
      <c r="M54" s="43" t="n"/>
      <c r="N54" s="43" t="n"/>
      <c r="O54" s="43" t="n"/>
      <c r="P54" s="43" t="n"/>
      <c r="Q54" s="43" t="n"/>
      <c r="R54" s="43" t="n"/>
      <c r="S54" s="43" t="n"/>
      <c r="T54" s="43" t="n"/>
      <c r="U54" s="43" t="n"/>
      <c r="V54" s="43" t="n"/>
      <c r="W54" s="43" t="n"/>
      <c r="X54" s="43" t="n"/>
      <c r="Y54" s="43" t="n"/>
      <c r="Z54" s="43" t="n"/>
      <c r="AA54" s="43" t="n"/>
      <c r="AB54" s="43" t="n"/>
      <c r="AC54" s="43" t="n"/>
      <c r="AD54" s="43" t="n"/>
      <c r="AE54" s="44" t="n"/>
      <c r="AF54" s="43" t="n"/>
      <c r="AG54" s="43" t="n"/>
      <c r="AH54" s="44" t="n"/>
      <c r="AI54" s="43" t="n"/>
      <c r="AJ54" s="43" t="n"/>
      <c r="AK54" s="43" t="n"/>
      <c r="AL54" s="43" t="n"/>
      <c r="AM54" s="43" t="n"/>
      <c r="AN54" s="43" t="n"/>
      <c r="AO54" s="43" t="n"/>
      <c r="AP54" s="43" t="n"/>
      <c r="AQ54" s="43" t="n"/>
      <c r="AR54" s="43" t="n"/>
      <c r="AS54" s="43" t="n"/>
      <c r="AT54" s="43" t="n"/>
      <c r="AU54" s="43" t="n"/>
      <c r="AV54" s="43" t="n"/>
      <c r="AW54" s="43" t="n"/>
      <c r="AX54" s="43" t="n"/>
      <c r="AY54" s="43" t="n"/>
      <c r="AZ54" s="43" t="n"/>
      <c r="BA54" s="43" t="n"/>
      <c r="BB54" s="43" t="n"/>
      <c r="BC54" s="43" t="n"/>
      <c r="BD54" s="43" t="n"/>
      <c r="BE54" s="43" t="n"/>
      <c r="BF54" s="43" t="n"/>
      <c r="BG54" s="43" t="n"/>
      <c r="BH54" s="43" t="n"/>
      <c r="BI54" s="43" t="n"/>
      <c r="BJ54" s="43" t="n"/>
      <c r="BK54" s="43" t="n"/>
      <c r="BL54" s="43" t="n"/>
      <c r="BM54" s="43" t="n"/>
      <c r="BN54" s="43" t="n"/>
      <c r="BO54" s="43" t="n"/>
      <c r="BP54" s="43" t="n"/>
      <c r="BQ54" s="43" t="n"/>
      <c r="BR54" s="43" t="n"/>
      <c r="BS54" s="43" t="n"/>
      <c r="BT54" s="43" t="n"/>
      <c r="BU54" s="43" t="n"/>
      <c r="BV54" s="43" t="n"/>
      <c r="BW54" s="43" t="n"/>
      <c r="BX54" s="43" t="n"/>
      <c r="BY54" s="43" t="n"/>
      <c r="BZ54" s="43" t="n"/>
      <c r="CA54" s="43" t="n"/>
      <c r="CB54" s="43" t="n"/>
      <c r="CC54" s="43" t="n"/>
      <c r="CD54" s="43" t="n"/>
      <c r="CE54" s="43" t="n"/>
      <c r="CF54" s="43" t="n"/>
      <c r="CG54" s="43" t="n"/>
      <c r="CH54" s="43" t="n"/>
      <c r="CI54" s="43" t="n"/>
      <c r="CJ54" s="43" t="n"/>
      <c r="CK54" s="43" t="n"/>
      <c r="CL54" s="43" t="n"/>
      <c r="CM54" s="43" t="n"/>
      <c r="CN54" s="43" t="n"/>
      <c r="CO54" s="43" t="n"/>
      <c r="CP54" s="43" t="n"/>
      <c r="CQ54" s="43" t="n"/>
      <c r="CR54" s="43" t="n"/>
      <c r="CS54" s="43" t="n"/>
      <c r="CT54" s="43" t="n"/>
      <c r="CU54" s="43" t="n"/>
      <c r="CV54" s="43" t="n"/>
      <c r="CW54" s="43" t="n"/>
      <c r="CX54" s="43" t="n"/>
      <c r="CY54" s="43" t="n"/>
      <c r="CZ54" s="43" t="n"/>
      <c r="DA54" s="43" t="n"/>
      <c r="DB54" s="45">
        <f>IF(C54="","",COUNTA(AI54,AL54,AO54,AR54))</f>
        <v/>
      </c>
      <c r="DC54" s="45">
        <f>IF(C54="","",COUNTA(BM54,BO54,BQ54,BS54,BU54,BW54,BY54,CA54))</f>
        <v/>
      </c>
      <c r="DD54" s="45">
        <f>IF(C54="","",COUNTIF(AV54:BL54,"Yes"))</f>
        <v/>
      </c>
      <c r="DE54" s="45">
        <f>IF(C54="","",COUNTIF(CV54:CZ54,"Yes"))</f>
        <v/>
      </c>
    </row>
    <row r="55">
      <c r="A55" s="43" t="n"/>
      <c r="B55" s="44" t="n"/>
      <c r="C55" s="43" t="n"/>
      <c r="D55" s="43" t="n"/>
      <c r="E55" s="43" t="n"/>
      <c r="F55" s="43" t="n"/>
      <c r="G55" s="44" t="n"/>
      <c r="H55" s="43" t="n"/>
      <c r="I55" s="43" t="n"/>
      <c r="J55" s="43" t="n"/>
      <c r="K55" s="43" t="n"/>
      <c r="L55" s="43" t="n"/>
      <c r="M55" s="43" t="n"/>
      <c r="N55" s="43" t="n"/>
      <c r="O55" s="43" t="n"/>
      <c r="P55" s="43" t="n"/>
      <c r="Q55" s="43" t="n"/>
      <c r="R55" s="43" t="n"/>
      <c r="S55" s="43" t="n"/>
      <c r="T55" s="43" t="n"/>
      <c r="U55" s="43" t="n"/>
      <c r="V55" s="43" t="n"/>
      <c r="W55" s="43" t="n"/>
      <c r="X55" s="43" t="n"/>
      <c r="Y55" s="43" t="n"/>
      <c r="Z55" s="43" t="n"/>
      <c r="AA55" s="43" t="n"/>
      <c r="AB55" s="43" t="n"/>
      <c r="AC55" s="43" t="n"/>
      <c r="AD55" s="43" t="n"/>
      <c r="AE55" s="44" t="n"/>
      <c r="AF55" s="43" t="n"/>
      <c r="AG55" s="43" t="n"/>
      <c r="AH55" s="44" t="n"/>
      <c r="AI55" s="43" t="n"/>
      <c r="AJ55" s="43" t="n"/>
      <c r="AK55" s="43" t="n"/>
      <c r="AL55" s="43" t="n"/>
      <c r="AM55" s="43" t="n"/>
      <c r="AN55" s="43" t="n"/>
      <c r="AO55" s="43" t="n"/>
      <c r="AP55" s="43" t="n"/>
      <c r="AQ55" s="43" t="n"/>
      <c r="AR55" s="43" t="n"/>
      <c r="AS55" s="43" t="n"/>
      <c r="AT55" s="43" t="n"/>
      <c r="AU55" s="43" t="n"/>
      <c r="AV55" s="43" t="n"/>
      <c r="AW55" s="43" t="n"/>
      <c r="AX55" s="43" t="n"/>
      <c r="AY55" s="43" t="n"/>
      <c r="AZ55" s="43" t="n"/>
      <c r="BA55" s="43" t="n"/>
      <c r="BB55" s="43" t="n"/>
      <c r="BC55" s="43" t="n"/>
      <c r="BD55" s="43" t="n"/>
      <c r="BE55" s="43" t="n"/>
      <c r="BF55" s="43" t="n"/>
      <c r="BG55" s="43" t="n"/>
      <c r="BH55" s="43" t="n"/>
      <c r="BI55" s="43" t="n"/>
      <c r="BJ55" s="43" t="n"/>
      <c r="BK55" s="43" t="n"/>
      <c r="BL55" s="43" t="n"/>
      <c r="BM55" s="43" t="n"/>
      <c r="BN55" s="43" t="n"/>
      <c r="BO55" s="43" t="n"/>
      <c r="BP55" s="43" t="n"/>
      <c r="BQ55" s="43" t="n"/>
      <c r="BR55" s="43" t="n"/>
      <c r="BS55" s="43" t="n"/>
      <c r="BT55" s="43" t="n"/>
      <c r="BU55" s="43" t="n"/>
      <c r="BV55" s="43" t="n"/>
      <c r="BW55" s="43" t="n"/>
      <c r="BX55" s="43" t="n"/>
      <c r="BY55" s="43" t="n"/>
      <c r="BZ55" s="43" t="n"/>
      <c r="CA55" s="43" t="n"/>
      <c r="CB55" s="43" t="n"/>
      <c r="CC55" s="43" t="n"/>
      <c r="CD55" s="43" t="n"/>
      <c r="CE55" s="43" t="n"/>
      <c r="CF55" s="43" t="n"/>
      <c r="CG55" s="43" t="n"/>
      <c r="CH55" s="43" t="n"/>
      <c r="CI55" s="43" t="n"/>
      <c r="CJ55" s="43" t="n"/>
      <c r="CK55" s="43" t="n"/>
      <c r="CL55" s="43" t="n"/>
      <c r="CM55" s="43" t="n"/>
      <c r="CN55" s="43" t="n"/>
      <c r="CO55" s="43" t="n"/>
      <c r="CP55" s="43" t="n"/>
      <c r="CQ55" s="43" t="n"/>
      <c r="CR55" s="43" t="n"/>
      <c r="CS55" s="43" t="n"/>
      <c r="CT55" s="43" t="n"/>
      <c r="CU55" s="43" t="n"/>
      <c r="CV55" s="43" t="n"/>
      <c r="CW55" s="43" t="n"/>
      <c r="CX55" s="43" t="n"/>
      <c r="CY55" s="43" t="n"/>
      <c r="CZ55" s="43" t="n"/>
      <c r="DA55" s="43" t="n"/>
      <c r="DB55" s="45">
        <f>IF(C55="","",COUNTA(AI55,AL55,AO55,AR55))</f>
        <v/>
      </c>
      <c r="DC55" s="45">
        <f>IF(C55="","",COUNTA(BM55,BO55,BQ55,BS55,BU55,BW55,BY55,CA55))</f>
        <v/>
      </c>
      <c r="DD55" s="45">
        <f>IF(C55="","",COUNTIF(AV55:BL55,"Yes"))</f>
        <v/>
      </c>
      <c r="DE55" s="45">
        <f>IF(C55="","",COUNTIF(CV55:CZ55,"Yes"))</f>
        <v/>
      </c>
    </row>
    <row r="56">
      <c r="A56" s="43" t="n"/>
      <c r="B56" s="44" t="n"/>
      <c r="C56" s="43" t="n"/>
      <c r="D56" s="43" t="n"/>
      <c r="E56" s="43" t="n"/>
      <c r="F56" s="43" t="n"/>
      <c r="G56" s="44" t="n"/>
      <c r="H56" s="43" t="n"/>
      <c r="I56" s="43" t="n"/>
      <c r="J56" s="43" t="n"/>
      <c r="K56" s="43" t="n"/>
      <c r="L56" s="43" t="n"/>
      <c r="M56" s="43" t="n"/>
      <c r="N56" s="43" t="n"/>
      <c r="O56" s="43" t="n"/>
      <c r="P56" s="43" t="n"/>
      <c r="Q56" s="43" t="n"/>
      <c r="R56" s="43" t="n"/>
      <c r="S56" s="43" t="n"/>
      <c r="T56" s="43" t="n"/>
      <c r="U56" s="43" t="n"/>
      <c r="V56" s="43" t="n"/>
      <c r="W56" s="43" t="n"/>
      <c r="X56" s="43" t="n"/>
      <c r="Y56" s="43" t="n"/>
      <c r="Z56" s="43" t="n"/>
      <c r="AA56" s="43" t="n"/>
      <c r="AB56" s="43" t="n"/>
      <c r="AC56" s="43" t="n"/>
      <c r="AD56" s="43" t="n"/>
      <c r="AE56" s="44" t="n"/>
      <c r="AF56" s="43" t="n"/>
      <c r="AG56" s="43" t="n"/>
      <c r="AH56" s="44" t="n"/>
      <c r="AI56" s="43" t="n"/>
      <c r="AJ56" s="43" t="n"/>
      <c r="AK56" s="43" t="n"/>
      <c r="AL56" s="43" t="n"/>
      <c r="AM56" s="43" t="n"/>
      <c r="AN56" s="43" t="n"/>
      <c r="AO56" s="43" t="n"/>
      <c r="AP56" s="43" t="n"/>
      <c r="AQ56" s="43" t="n"/>
      <c r="AR56" s="43" t="n"/>
      <c r="AS56" s="43" t="n"/>
      <c r="AT56" s="43" t="n"/>
      <c r="AU56" s="43" t="n"/>
      <c r="AV56" s="43" t="n"/>
      <c r="AW56" s="43" t="n"/>
      <c r="AX56" s="43" t="n"/>
      <c r="AY56" s="43" t="n"/>
      <c r="AZ56" s="43" t="n"/>
      <c r="BA56" s="43" t="n"/>
      <c r="BB56" s="43" t="n"/>
      <c r="BC56" s="43" t="n"/>
      <c r="BD56" s="43" t="n"/>
      <c r="BE56" s="43" t="n"/>
      <c r="BF56" s="43" t="n"/>
      <c r="BG56" s="43" t="n"/>
      <c r="BH56" s="43" t="n"/>
      <c r="BI56" s="43" t="n"/>
      <c r="BJ56" s="43" t="n"/>
      <c r="BK56" s="43" t="n"/>
      <c r="BL56" s="43" t="n"/>
      <c r="BM56" s="43" t="n"/>
      <c r="BN56" s="43" t="n"/>
      <c r="BO56" s="43" t="n"/>
      <c r="BP56" s="43" t="n"/>
      <c r="BQ56" s="43" t="n"/>
      <c r="BR56" s="43" t="n"/>
      <c r="BS56" s="43" t="n"/>
      <c r="BT56" s="43" t="n"/>
      <c r="BU56" s="43" t="n"/>
      <c r="BV56" s="43" t="n"/>
      <c r="BW56" s="43" t="n"/>
      <c r="BX56" s="43" t="n"/>
      <c r="BY56" s="43" t="n"/>
      <c r="BZ56" s="43" t="n"/>
      <c r="CA56" s="43" t="n"/>
      <c r="CB56" s="43" t="n"/>
      <c r="CC56" s="43" t="n"/>
      <c r="CD56" s="43" t="n"/>
      <c r="CE56" s="43" t="n"/>
      <c r="CF56" s="43" t="n"/>
      <c r="CG56" s="43" t="n"/>
      <c r="CH56" s="43" t="n"/>
      <c r="CI56" s="43" t="n"/>
      <c r="CJ56" s="43" t="n"/>
      <c r="CK56" s="43" t="n"/>
      <c r="CL56" s="43" t="n"/>
      <c r="CM56" s="43" t="n"/>
      <c r="CN56" s="43" t="n"/>
      <c r="CO56" s="43" t="n"/>
      <c r="CP56" s="43" t="n"/>
      <c r="CQ56" s="43" t="n"/>
      <c r="CR56" s="43" t="n"/>
      <c r="CS56" s="43" t="n"/>
      <c r="CT56" s="43" t="n"/>
      <c r="CU56" s="43" t="n"/>
      <c r="CV56" s="43" t="n"/>
      <c r="CW56" s="43" t="n"/>
      <c r="CX56" s="43" t="n"/>
      <c r="CY56" s="43" t="n"/>
      <c r="CZ56" s="43" t="n"/>
      <c r="DA56" s="43" t="n"/>
      <c r="DB56" s="45">
        <f>IF(C56="","",COUNTA(AI56,AL56,AO56,AR56))</f>
        <v/>
      </c>
      <c r="DC56" s="45">
        <f>IF(C56="","",COUNTA(BM56,BO56,BQ56,BS56,BU56,BW56,BY56,CA56))</f>
        <v/>
      </c>
      <c r="DD56" s="45">
        <f>IF(C56="","",COUNTIF(AV56:BL56,"Yes"))</f>
        <v/>
      </c>
      <c r="DE56" s="45">
        <f>IF(C56="","",COUNTIF(CV56:CZ56,"Yes"))</f>
        <v/>
      </c>
    </row>
    <row r="57">
      <c r="A57" s="43" t="n"/>
      <c r="B57" s="44" t="n"/>
      <c r="C57" s="43" t="n"/>
      <c r="D57" s="43" t="n"/>
      <c r="E57" s="43" t="n"/>
      <c r="F57" s="43" t="n"/>
      <c r="G57" s="44" t="n"/>
      <c r="H57" s="43" t="n"/>
      <c r="I57" s="43" t="n"/>
      <c r="J57" s="43" t="n"/>
      <c r="K57" s="43" t="n"/>
      <c r="L57" s="43" t="n"/>
      <c r="M57" s="43" t="n"/>
      <c r="N57" s="43" t="n"/>
      <c r="O57" s="43" t="n"/>
      <c r="P57" s="43" t="n"/>
      <c r="Q57" s="43" t="n"/>
      <c r="R57" s="43" t="n"/>
      <c r="S57" s="43" t="n"/>
      <c r="T57" s="43" t="n"/>
      <c r="U57" s="43" t="n"/>
      <c r="V57" s="43" t="n"/>
      <c r="W57" s="43" t="n"/>
      <c r="X57" s="43" t="n"/>
      <c r="Y57" s="43" t="n"/>
      <c r="Z57" s="43" t="n"/>
      <c r="AA57" s="43" t="n"/>
      <c r="AB57" s="43" t="n"/>
      <c r="AC57" s="43" t="n"/>
      <c r="AD57" s="43" t="n"/>
      <c r="AE57" s="44" t="n"/>
      <c r="AF57" s="43" t="n"/>
      <c r="AG57" s="43" t="n"/>
      <c r="AH57" s="44" t="n"/>
      <c r="AI57" s="43" t="n"/>
      <c r="AJ57" s="43" t="n"/>
      <c r="AK57" s="43" t="n"/>
      <c r="AL57" s="43" t="n"/>
      <c r="AM57" s="43" t="n"/>
      <c r="AN57" s="43" t="n"/>
      <c r="AO57" s="43" t="n"/>
      <c r="AP57" s="43" t="n"/>
      <c r="AQ57" s="43" t="n"/>
      <c r="AR57" s="43" t="n"/>
      <c r="AS57" s="43" t="n"/>
      <c r="AT57" s="43" t="n"/>
      <c r="AU57" s="43" t="n"/>
      <c r="AV57" s="43" t="n"/>
      <c r="AW57" s="43" t="n"/>
      <c r="AX57" s="43" t="n"/>
      <c r="AY57" s="43" t="n"/>
      <c r="AZ57" s="43" t="n"/>
      <c r="BA57" s="43" t="n"/>
      <c r="BB57" s="43" t="n"/>
      <c r="BC57" s="43" t="n"/>
      <c r="BD57" s="43" t="n"/>
      <c r="BE57" s="43" t="n"/>
      <c r="BF57" s="43" t="n"/>
      <c r="BG57" s="43" t="n"/>
      <c r="BH57" s="43" t="n"/>
      <c r="BI57" s="43" t="n"/>
      <c r="BJ57" s="43" t="n"/>
      <c r="BK57" s="43" t="n"/>
      <c r="BL57" s="43" t="n"/>
      <c r="BM57" s="43" t="n"/>
      <c r="BN57" s="43" t="n"/>
      <c r="BO57" s="43" t="n"/>
      <c r="BP57" s="43" t="n"/>
      <c r="BQ57" s="43" t="n"/>
      <c r="BR57" s="43" t="n"/>
      <c r="BS57" s="43" t="n"/>
      <c r="BT57" s="43" t="n"/>
      <c r="BU57" s="43" t="n"/>
      <c r="BV57" s="43" t="n"/>
      <c r="BW57" s="43" t="n"/>
      <c r="BX57" s="43" t="n"/>
      <c r="BY57" s="43" t="n"/>
      <c r="BZ57" s="43" t="n"/>
      <c r="CA57" s="43" t="n"/>
      <c r="CB57" s="43" t="n"/>
      <c r="CC57" s="43" t="n"/>
      <c r="CD57" s="43" t="n"/>
      <c r="CE57" s="43" t="n"/>
      <c r="CF57" s="43" t="n"/>
      <c r="CG57" s="43" t="n"/>
      <c r="CH57" s="43" t="n"/>
      <c r="CI57" s="43" t="n"/>
      <c r="CJ57" s="43" t="n"/>
      <c r="CK57" s="43" t="n"/>
      <c r="CL57" s="43" t="n"/>
      <c r="CM57" s="43" t="n"/>
      <c r="CN57" s="43" t="n"/>
      <c r="CO57" s="43" t="n"/>
      <c r="CP57" s="43" t="n"/>
      <c r="CQ57" s="43" t="n"/>
      <c r="CR57" s="43" t="n"/>
      <c r="CS57" s="43" t="n"/>
      <c r="CT57" s="43" t="n"/>
      <c r="CU57" s="43" t="n"/>
      <c r="CV57" s="43" t="n"/>
      <c r="CW57" s="43" t="n"/>
      <c r="CX57" s="43" t="n"/>
      <c r="CY57" s="43" t="n"/>
      <c r="CZ57" s="43" t="n"/>
      <c r="DA57" s="43" t="n"/>
      <c r="DB57" s="45">
        <f>IF(C57="","",COUNTA(AI57,AL57,AO57,AR57))</f>
        <v/>
      </c>
      <c r="DC57" s="45">
        <f>IF(C57="","",COUNTA(BM57,BO57,BQ57,BS57,BU57,BW57,BY57,CA57))</f>
        <v/>
      </c>
      <c r="DD57" s="45">
        <f>IF(C57="","",COUNTIF(AV57:BL57,"Yes"))</f>
        <v/>
      </c>
      <c r="DE57" s="45">
        <f>IF(C57="","",COUNTIF(CV57:CZ57,"Yes"))</f>
        <v/>
      </c>
    </row>
    <row r="58">
      <c r="A58" s="43" t="n"/>
      <c r="B58" s="44" t="n"/>
      <c r="C58" s="43" t="n"/>
      <c r="D58" s="43" t="n"/>
      <c r="E58" s="43" t="n"/>
      <c r="F58" s="43" t="n"/>
      <c r="G58" s="44" t="n"/>
      <c r="H58" s="43" t="n"/>
      <c r="I58" s="43" t="n"/>
      <c r="J58" s="43" t="n"/>
      <c r="K58" s="43" t="n"/>
      <c r="L58" s="43" t="n"/>
      <c r="M58" s="43" t="n"/>
      <c r="N58" s="43" t="n"/>
      <c r="O58" s="43" t="n"/>
      <c r="P58" s="43" t="n"/>
      <c r="Q58" s="43" t="n"/>
      <c r="R58" s="43" t="n"/>
      <c r="S58" s="43" t="n"/>
      <c r="T58" s="43" t="n"/>
      <c r="U58" s="43" t="n"/>
      <c r="V58" s="43" t="n"/>
      <c r="W58" s="43" t="n"/>
      <c r="X58" s="43" t="n"/>
      <c r="Y58" s="43" t="n"/>
      <c r="Z58" s="43" t="n"/>
      <c r="AA58" s="43" t="n"/>
      <c r="AB58" s="43" t="n"/>
      <c r="AC58" s="43" t="n"/>
      <c r="AD58" s="43" t="n"/>
      <c r="AE58" s="44" t="n"/>
      <c r="AF58" s="43" t="n"/>
      <c r="AG58" s="43" t="n"/>
      <c r="AH58" s="44" t="n"/>
      <c r="AI58" s="43" t="n"/>
      <c r="AJ58" s="43" t="n"/>
      <c r="AK58" s="43" t="n"/>
      <c r="AL58" s="43" t="n"/>
      <c r="AM58" s="43" t="n"/>
      <c r="AN58" s="43" t="n"/>
      <c r="AO58" s="43" t="n"/>
      <c r="AP58" s="43" t="n"/>
      <c r="AQ58" s="43" t="n"/>
      <c r="AR58" s="43" t="n"/>
      <c r="AS58" s="43" t="n"/>
      <c r="AT58" s="43" t="n"/>
      <c r="AU58" s="43" t="n"/>
      <c r="AV58" s="43" t="n"/>
      <c r="AW58" s="43" t="n"/>
      <c r="AX58" s="43" t="n"/>
      <c r="AY58" s="43" t="n"/>
      <c r="AZ58" s="43" t="n"/>
      <c r="BA58" s="43" t="n"/>
      <c r="BB58" s="43" t="n"/>
      <c r="BC58" s="43" t="n"/>
      <c r="BD58" s="43" t="n"/>
      <c r="BE58" s="43" t="n"/>
      <c r="BF58" s="43" t="n"/>
      <c r="BG58" s="43" t="n"/>
      <c r="BH58" s="43" t="n"/>
      <c r="BI58" s="43" t="n"/>
      <c r="BJ58" s="43" t="n"/>
      <c r="BK58" s="43" t="n"/>
      <c r="BL58" s="43" t="n"/>
      <c r="BM58" s="43" t="n"/>
      <c r="BN58" s="43" t="n"/>
      <c r="BO58" s="43" t="n"/>
      <c r="BP58" s="43" t="n"/>
      <c r="BQ58" s="43" t="n"/>
      <c r="BR58" s="43" t="n"/>
      <c r="BS58" s="43" t="n"/>
      <c r="BT58" s="43" t="n"/>
      <c r="BU58" s="43" t="n"/>
      <c r="BV58" s="43" t="n"/>
      <c r="BW58" s="43" t="n"/>
      <c r="BX58" s="43" t="n"/>
      <c r="BY58" s="43" t="n"/>
      <c r="BZ58" s="43" t="n"/>
      <c r="CA58" s="43" t="n"/>
      <c r="CB58" s="43" t="n"/>
      <c r="CC58" s="43" t="n"/>
      <c r="CD58" s="43" t="n"/>
      <c r="CE58" s="43" t="n"/>
      <c r="CF58" s="43" t="n"/>
      <c r="CG58" s="43" t="n"/>
      <c r="CH58" s="43" t="n"/>
      <c r="CI58" s="43" t="n"/>
      <c r="CJ58" s="43" t="n"/>
      <c r="CK58" s="43" t="n"/>
      <c r="CL58" s="43" t="n"/>
      <c r="CM58" s="43" t="n"/>
      <c r="CN58" s="43" t="n"/>
      <c r="CO58" s="43" t="n"/>
      <c r="CP58" s="43" t="n"/>
      <c r="CQ58" s="43" t="n"/>
      <c r="CR58" s="43" t="n"/>
      <c r="CS58" s="43" t="n"/>
      <c r="CT58" s="43" t="n"/>
      <c r="CU58" s="43" t="n"/>
      <c r="CV58" s="43" t="n"/>
      <c r="CW58" s="43" t="n"/>
      <c r="CX58" s="43" t="n"/>
      <c r="CY58" s="43" t="n"/>
      <c r="CZ58" s="43" t="n"/>
      <c r="DA58" s="43" t="n"/>
      <c r="DB58" s="45">
        <f>IF(C58="","",COUNTA(AI58,AL58,AO58,AR58))</f>
        <v/>
      </c>
      <c r="DC58" s="45">
        <f>IF(C58="","",COUNTA(BM58,BO58,BQ58,BS58,BU58,BW58,BY58,CA58))</f>
        <v/>
      </c>
      <c r="DD58" s="45">
        <f>IF(C58="","",COUNTIF(AV58:BL58,"Yes"))</f>
        <v/>
      </c>
      <c r="DE58" s="45">
        <f>IF(C58="","",COUNTIF(CV58:CZ58,"Yes"))</f>
        <v/>
      </c>
    </row>
    <row r="59">
      <c r="A59" s="43" t="n"/>
      <c r="B59" s="44" t="n"/>
      <c r="C59" s="43" t="n"/>
      <c r="D59" s="43" t="n"/>
      <c r="E59" s="43" t="n"/>
      <c r="F59" s="43" t="n"/>
      <c r="G59" s="44" t="n"/>
      <c r="H59" s="43" t="n"/>
      <c r="I59" s="43" t="n"/>
      <c r="J59" s="43" t="n"/>
      <c r="K59" s="43" t="n"/>
      <c r="L59" s="43" t="n"/>
      <c r="M59" s="43" t="n"/>
      <c r="N59" s="43" t="n"/>
      <c r="O59" s="43" t="n"/>
      <c r="P59" s="43" t="n"/>
      <c r="Q59" s="43" t="n"/>
      <c r="R59" s="43" t="n"/>
      <c r="S59" s="43" t="n"/>
      <c r="T59" s="43" t="n"/>
      <c r="U59" s="43" t="n"/>
      <c r="V59" s="43" t="n"/>
      <c r="W59" s="43" t="n"/>
      <c r="X59" s="43" t="n"/>
      <c r="Y59" s="43" t="n"/>
      <c r="Z59" s="43" t="n"/>
      <c r="AA59" s="43" t="n"/>
      <c r="AB59" s="43" t="n"/>
      <c r="AC59" s="43" t="n"/>
      <c r="AD59" s="43" t="n"/>
      <c r="AE59" s="44" t="n"/>
      <c r="AF59" s="43" t="n"/>
      <c r="AG59" s="43" t="n"/>
      <c r="AH59" s="44" t="n"/>
      <c r="AI59" s="43" t="n"/>
      <c r="AJ59" s="43" t="n"/>
      <c r="AK59" s="43" t="n"/>
      <c r="AL59" s="43" t="n"/>
      <c r="AM59" s="43" t="n"/>
      <c r="AN59" s="43" t="n"/>
      <c r="AO59" s="43" t="n"/>
      <c r="AP59" s="43" t="n"/>
      <c r="AQ59" s="43" t="n"/>
      <c r="AR59" s="43" t="n"/>
      <c r="AS59" s="43" t="n"/>
      <c r="AT59" s="43" t="n"/>
      <c r="AU59" s="43" t="n"/>
      <c r="AV59" s="43" t="n"/>
      <c r="AW59" s="43" t="n"/>
      <c r="AX59" s="43" t="n"/>
      <c r="AY59" s="43" t="n"/>
      <c r="AZ59" s="43" t="n"/>
      <c r="BA59" s="43" t="n"/>
      <c r="BB59" s="43" t="n"/>
      <c r="BC59" s="43" t="n"/>
      <c r="BD59" s="43" t="n"/>
      <c r="BE59" s="43" t="n"/>
      <c r="BF59" s="43" t="n"/>
      <c r="BG59" s="43" t="n"/>
      <c r="BH59" s="43" t="n"/>
      <c r="BI59" s="43" t="n"/>
      <c r="BJ59" s="43" t="n"/>
      <c r="BK59" s="43" t="n"/>
      <c r="BL59" s="43" t="n"/>
      <c r="BM59" s="43" t="n"/>
      <c r="BN59" s="43" t="n"/>
      <c r="BO59" s="43" t="n"/>
      <c r="BP59" s="43" t="n"/>
      <c r="BQ59" s="43" t="n"/>
      <c r="BR59" s="43" t="n"/>
      <c r="BS59" s="43" t="n"/>
      <c r="BT59" s="43" t="n"/>
      <c r="BU59" s="43" t="n"/>
      <c r="BV59" s="43" t="n"/>
      <c r="BW59" s="43" t="n"/>
      <c r="BX59" s="43" t="n"/>
      <c r="BY59" s="43" t="n"/>
      <c r="BZ59" s="43" t="n"/>
      <c r="CA59" s="43" t="n"/>
      <c r="CB59" s="43" t="n"/>
      <c r="CC59" s="43" t="n"/>
      <c r="CD59" s="43" t="n"/>
      <c r="CE59" s="43" t="n"/>
      <c r="CF59" s="43" t="n"/>
      <c r="CG59" s="43" t="n"/>
      <c r="CH59" s="43" t="n"/>
      <c r="CI59" s="43" t="n"/>
      <c r="CJ59" s="43" t="n"/>
      <c r="CK59" s="43" t="n"/>
      <c r="CL59" s="43" t="n"/>
      <c r="CM59" s="43" t="n"/>
      <c r="CN59" s="43" t="n"/>
      <c r="CO59" s="43" t="n"/>
      <c r="CP59" s="43" t="n"/>
      <c r="CQ59" s="43" t="n"/>
      <c r="CR59" s="43" t="n"/>
      <c r="CS59" s="43" t="n"/>
      <c r="CT59" s="43" t="n"/>
      <c r="CU59" s="43" t="n"/>
      <c r="CV59" s="43" t="n"/>
      <c r="CW59" s="43" t="n"/>
      <c r="CX59" s="43" t="n"/>
      <c r="CY59" s="43" t="n"/>
      <c r="CZ59" s="43" t="n"/>
      <c r="DA59" s="43" t="n"/>
      <c r="DB59" s="45">
        <f>IF(C59="","",COUNTA(AI59,AL59,AO59,AR59))</f>
        <v/>
      </c>
      <c r="DC59" s="45">
        <f>IF(C59="","",COUNTA(BM59,BO59,BQ59,BS59,BU59,BW59,BY59,CA59))</f>
        <v/>
      </c>
      <c r="DD59" s="45">
        <f>IF(C59="","",COUNTIF(AV59:BL59,"Yes"))</f>
        <v/>
      </c>
      <c r="DE59" s="45">
        <f>IF(C59="","",COUNTIF(CV59:CZ59,"Yes"))</f>
        <v/>
      </c>
    </row>
    <row r="60">
      <c r="A60" s="43" t="n"/>
      <c r="B60" s="44" t="n"/>
      <c r="C60" s="43" t="n"/>
      <c r="D60" s="43" t="n"/>
      <c r="E60" s="43" t="n"/>
      <c r="F60" s="43" t="n"/>
      <c r="G60" s="44" t="n"/>
      <c r="H60" s="43" t="n"/>
      <c r="I60" s="43" t="n"/>
      <c r="J60" s="43" t="n"/>
      <c r="K60" s="43" t="n"/>
      <c r="L60" s="43" t="n"/>
      <c r="M60" s="43" t="n"/>
      <c r="N60" s="43" t="n"/>
      <c r="O60" s="43" t="n"/>
      <c r="P60" s="43" t="n"/>
      <c r="Q60" s="43" t="n"/>
      <c r="R60" s="43" t="n"/>
      <c r="S60" s="43" t="n"/>
      <c r="T60" s="43" t="n"/>
      <c r="U60" s="43" t="n"/>
      <c r="V60" s="43" t="n"/>
      <c r="W60" s="43" t="n"/>
      <c r="X60" s="43" t="n"/>
      <c r="Y60" s="43" t="n"/>
      <c r="Z60" s="43" t="n"/>
      <c r="AA60" s="43" t="n"/>
      <c r="AB60" s="43" t="n"/>
      <c r="AC60" s="43" t="n"/>
      <c r="AD60" s="43" t="n"/>
      <c r="AE60" s="44" t="n"/>
      <c r="AF60" s="43" t="n"/>
      <c r="AG60" s="43" t="n"/>
      <c r="AH60" s="44" t="n"/>
      <c r="AI60" s="43" t="n"/>
      <c r="AJ60" s="43" t="n"/>
      <c r="AK60" s="43" t="n"/>
      <c r="AL60" s="43" t="n"/>
      <c r="AM60" s="43" t="n"/>
      <c r="AN60" s="43" t="n"/>
      <c r="AO60" s="43" t="n"/>
      <c r="AP60" s="43" t="n"/>
      <c r="AQ60" s="43" t="n"/>
      <c r="AR60" s="43" t="n"/>
      <c r="AS60" s="43" t="n"/>
      <c r="AT60" s="43" t="n"/>
      <c r="AU60" s="43" t="n"/>
      <c r="AV60" s="43" t="n"/>
      <c r="AW60" s="43" t="n"/>
      <c r="AX60" s="43" t="n"/>
      <c r="AY60" s="43" t="n"/>
      <c r="AZ60" s="43" t="n"/>
      <c r="BA60" s="43" t="n"/>
      <c r="BB60" s="43" t="n"/>
      <c r="BC60" s="43" t="n"/>
      <c r="BD60" s="43" t="n"/>
      <c r="BE60" s="43" t="n"/>
      <c r="BF60" s="43" t="n"/>
      <c r="BG60" s="43" t="n"/>
      <c r="BH60" s="43" t="n"/>
      <c r="BI60" s="43" t="n"/>
      <c r="BJ60" s="43" t="n"/>
      <c r="BK60" s="43" t="n"/>
      <c r="BL60" s="43" t="n"/>
      <c r="BM60" s="43" t="n"/>
      <c r="BN60" s="43" t="n"/>
      <c r="BO60" s="43" t="n"/>
      <c r="BP60" s="43" t="n"/>
      <c r="BQ60" s="43" t="n"/>
      <c r="BR60" s="43" t="n"/>
      <c r="BS60" s="43" t="n"/>
      <c r="BT60" s="43" t="n"/>
      <c r="BU60" s="43" t="n"/>
      <c r="BV60" s="43" t="n"/>
      <c r="BW60" s="43" t="n"/>
      <c r="BX60" s="43" t="n"/>
      <c r="BY60" s="43" t="n"/>
      <c r="BZ60" s="43" t="n"/>
      <c r="CA60" s="43" t="n"/>
      <c r="CB60" s="43" t="n"/>
      <c r="CC60" s="43" t="n"/>
      <c r="CD60" s="43" t="n"/>
      <c r="CE60" s="43" t="n"/>
      <c r="CF60" s="43" t="n"/>
      <c r="CG60" s="43" t="n"/>
      <c r="CH60" s="43" t="n"/>
      <c r="CI60" s="43" t="n"/>
      <c r="CJ60" s="43" t="n"/>
      <c r="CK60" s="43" t="n"/>
      <c r="CL60" s="43" t="n"/>
      <c r="CM60" s="43" t="n"/>
      <c r="CN60" s="43" t="n"/>
      <c r="CO60" s="43" t="n"/>
      <c r="CP60" s="43" t="n"/>
      <c r="CQ60" s="43" t="n"/>
      <c r="CR60" s="43" t="n"/>
      <c r="CS60" s="43" t="n"/>
      <c r="CT60" s="43" t="n"/>
      <c r="CU60" s="43" t="n"/>
      <c r="CV60" s="43" t="n"/>
      <c r="CW60" s="43" t="n"/>
      <c r="CX60" s="43" t="n"/>
      <c r="CY60" s="43" t="n"/>
      <c r="CZ60" s="43" t="n"/>
      <c r="DA60" s="43" t="n"/>
      <c r="DB60" s="45">
        <f>IF(C60="","",COUNTA(AI60,AL60,AO60,AR60))</f>
        <v/>
      </c>
      <c r="DC60" s="45">
        <f>IF(C60="","",COUNTA(BM60,BO60,BQ60,BS60,BU60,BW60,BY60,CA60))</f>
        <v/>
      </c>
      <c r="DD60" s="45">
        <f>IF(C60="","",COUNTIF(AV60:BL60,"Yes"))</f>
        <v/>
      </c>
      <c r="DE60" s="45">
        <f>IF(C60="","",COUNTIF(CV60:CZ60,"Yes"))</f>
        <v/>
      </c>
    </row>
    <row r="61">
      <c r="B61" s="46" t="n"/>
      <c r="G61" s="46" t="n"/>
      <c r="AE61" s="46" t="n"/>
      <c r="AH61" s="46" t="n"/>
      <c r="DB61" s="47">
        <f>IF(C61="","",COUNTA(AI61,AL61,AO61,AR61))</f>
        <v/>
      </c>
      <c r="DC61" s="47">
        <f>IF(C61="","",COUNTA(BM61,BO61,BQ61,BS61,BU61,BW61,BY61,CA61))</f>
        <v/>
      </c>
      <c r="DD61" s="47">
        <f>IF(C61="","",COUNTIF(AV61:BL61,"Yes"))</f>
        <v/>
      </c>
      <c r="DE61" s="47">
        <f>IF(C61="","",COUNTIF(CV61:CZ61,"Yes"))</f>
        <v/>
      </c>
    </row>
    <row r="62">
      <c r="B62" s="46" t="n"/>
      <c r="G62" s="46" t="n"/>
      <c r="AE62" s="46" t="n"/>
      <c r="AH62" s="46" t="n"/>
      <c r="DB62" s="47">
        <f>IF(C62="","",COUNTA(AI62,AL62,AO62,AR62))</f>
        <v/>
      </c>
      <c r="DC62" s="47">
        <f>IF(C62="","",COUNTA(BM62,BO62,BQ62,BS62,BU62,BW62,BY62,CA62))</f>
        <v/>
      </c>
      <c r="DD62" s="47">
        <f>IF(C62="","",COUNTIF(AV62:BL62,"Yes"))</f>
        <v/>
      </c>
      <c r="DE62" s="47">
        <f>IF(C62="","",COUNTIF(CV62:CZ62,"Yes"))</f>
        <v/>
      </c>
    </row>
    <row r="63">
      <c r="B63" s="46" t="n"/>
      <c r="G63" s="46" t="n"/>
      <c r="AE63" s="46" t="n"/>
      <c r="AH63" s="46" t="n"/>
      <c r="DB63" s="47">
        <f>IF(C63="","",COUNTA(AI63,AL63,AO63,AR63))</f>
        <v/>
      </c>
      <c r="DC63" s="47">
        <f>IF(C63="","",COUNTA(BM63,BO63,BQ63,BS63,BU63,BW63,BY63,CA63))</f>
        <v/>
      </c>
      <c r="DD63" s="47">
        <f>IF(C63="","",COUNTIF(AV63:BL63,"Yes"))</f>
        <v/>
      </c>
      <c r="DE63" s="47">
        <f>IF(C63="","",COUNTIF(CV63:CZ63,"Yes"))</f>
        <v/>
      </c>
    </row>
    <row r="64">
      <c r="B64" s="46" t="n"/>
      <c r="G64" s="46" t="n"/>
      <c r="AE64" s="46" t="n"/>
      <c r="AH64" s="46" t="n"/>
      <c r="DB64" s="47">
        <f>IF(C64="","",COUNTA(AI64,AL64,AO64,AR64))</f>
        <v/>
      </c>
      <c r="DC64" s="47">
        <f>IF(C64="","",COUNTA(BM64,BO64,BQ64,BS64,BU64,BW64,BY64,CA64))</f>
        <v/>
      </c>
      <c r="DD64" s="47">
        <f>IF(C64="","",COUNTIF(AV64:BL64,"Yes"))</f>
        <v/>
      </c>
      <c r="DE64" s="47">
        <f>IF(C64="","",COUNTIF(CV64:CZ64,"Yes"))</f>
        <v/>
      </c>
    </row>
    <row r="65">
      <c r="B65" s="46" t="n"/>
      <c r="G65" s="46" t="n"/>
      <c r="AE65" s="46" t="n"/>
      <c r="AH65" s="46" t="n"/>
      <c r="DB65" s="47">
        <f>IF(C65="","",COUNTA(AI65,AL65,AO65,AR65))</f>
        <v/>
      </c>
      <c r="DC65" s="47">
        <f>IF(C65="","",COUNTA(BM65,BO65,BQ65,BS65,BU65,BW65,BY65,CA65))</f>
        <v/>
      </c>
      <c r="DD65" s="47">
        <f>IF(C65="","",COUNTIF(AV65:BL65,"Yes"))</f>
        <v/>
      </c>
      <c r="DE65" s="47">
        <f>IF(C65="","",COUNTIF(CV65:CZ65,"Yes"))</f>
        <v/>
      </c>
    </row>
    <row r="66">
      <c r="B66" s="46" t="n"/>
      <c r="G66" s="46" t="n"/>
      <c r="AE66" s="46" t="n"/>
      <c r="AH66" s="46" t="n"/>
      <c r="DB66" s="47">
        <f>IF(C66="","",COUNTA(AI66,AL66,AO66,AR66))</f>
        <v/>
      </c>
      <c r="DC66" s="47">
        <f>IF(C66="","",COUNTA(BM66,BO66,BQ66,BS66,BU66,BW66,BY66,CA66))</f>
        <v/>
      </c>
      <c r="DD66" s="47">
        <f>IF(C66="","",COUNTIF(AV66:BL66,"Yes"))</f>
        <v/>
      </c>
      <c r="DE66" s="47">
        <f>IF(C66="","",COUNTIF(CV66:CZ66,"Yes"))</f>
        <v/>
      </c>
    </row>
    <row r="67">
      <c r="B67" s="46" t="n"/>
      <c r="G67" s="46" t="n"/>
      <c r="AE67" s="46" t="n"/>
      <c r="AH67" s="46" t="n"/>
      <c r="DB67" s="47">
        <f>IF(C67="","",COUNTA(AI67,AL67,AO67,AR67))</f>
        <v/>
      </c>
      <c r="DC67" s="47">
        <f>IF(C67="","",COUNTA(BM67,BO67,BQ67,BS67,BU67,BW67,BY67,CA67))</f>
        <v/>
      </c>
      <c r="DD67" s="47">
        <f>IF(C67="","",COUNTIF(AV67:BL67,"Yes"))</f>
        <v/>
      </c>
      <c r="DE67" s="47">
        <f>IF(C67="","",COUNTIF(CV67:CZ67,"Yes"))</f>
        <v/>
      </c>
    </row>
    <row r="68">
      <c r="B68" s="46" t="n"/>
      <c r="G68" s="46" t="n"/>
      <c r="AE68" s="46" t="n"/>
      <c r="AH68" s="46" t="n"/>
      <c r="DB68" s="47">
        <f>IF(C68="","",COUNTA(AI68,AL68,AO68,AR68))</f>
        <v/>
      </c>
      <c r="DC68" s="47">
        <f>IF(C68="","",COUNTA(BM68,BO68,BQ68,BS68,BU68,BW68,BY68,CA68))</f>
        <v/>
      </c>
      <c r="DD68" s="47">
        <f>IF(C68="","",COUNTIF(AV68:BL68,"Yes"))</f>
        <v/>
      </c>
      <c r="DE68" s="47">
        <f>IF(C68="","",COUNTIF(CV68:CZ68,"Yes"))</f>
        <v/>
      </c>
    </row>
    <row r="69">
      <c r="B69" s="46" t="n"/>
      <c r="G69" s="46" t="n"/>
      <c r="AE69" s="46" t="n"/>
      <c r="AH69" s="46" t="n"/>
      <c r="DB69" s="47">
        <f>IF(C69="","",COUNTA(AI69,AL69,AO69,AR69))</f>
        <v/>
      </c>
      <c r="DC69" s="47">
        <f>IF(C69="","",COUNTA(BM69,BO69,BQ69,BS69,BU69,BW69,BY69,CA69))</f>
        <v/>
      </c>
      <c r="DD69" s="47">
        <f>IF(C69="","",COUNTIF(AV69:BL69,"Yes"))</f>
        <v/>
      </c>
      <c r="DE69" s="47">
        <f>IF(C69="","",COUNTIF(CV69:CZ69,"Yes"))</f>
        <v/>
      </c>
    </row>
    <row r="70">
      <c r="B70" s="46" t="n"/>
      <c r="G70" s="46" t="n"/>
      <c r="AE70" s="46" t="n"/>
      <c r="AH70" s="46" t="n"/>
      <c r="DB70" s="47">
        <f>IF(C70="","",COUNTA(AI70,AL70,AO70,AR70))</f>
        <v/>
      </c>
      <c r="DC70" s="47">
        <f>IF(C70="","",COUNTA(BM70,BO70,BQ70,BS70,BU70,BW70,BY70,CA70))</f>
        <v/>
      </c>
      <c r="DD70" s="47">
        <f>IF(C70="","",COUNTIF(AV70:BL70,"Yes"))</f>
        <v/>
      </c>
      <c r="DE70" s="47">
        <f>IF(C70="","",COUNTIF(CV70:CZ70,"Yes"))</f>
        <v/>
      </c>
    </row>
    <row r="71">
      <c r="B71" s="46" t="n"/>
      <c r="G71" s="46" t="n"/>
      <c r="AE71" s="46" t="n"/>
      <c r="AH71" s="46" t="n"/>
      <c r="DB71" s="47">
        <f>IF(C71="","",COUNTA(AI71,AL71,AO71,AR71))</f>
        <v/>
      </c>
      <c r="DC71" s="47">
        <f>IF(C71="","",COUNTA(BM71,BO71,BQ71,BS71,BU71,BW71,BY71,CA71))</f>
        <v/>
      </c>
      <c r="DD71" s="47">
        <f>IF(C71="","",COUNTIF(AV71:BL71,"Yes"))</f>
        <v/>
      </c>
      <c r="DE71" s="47">
        <f>IF(C71="","",COUNTIF(CV71:CZ71,"Yes"))</f>
        <v/>
      </c>
    </row>
    <row r="72">
      <c r="B72" s="46" t="n"/>
      <c r="G72" s="46" t="n"/>
      <c r="AE72" s="46" t="n"/>
      <c r="AH72" s="46" t="n"/>
      <c r="DB72" s="47">
        <f>IF(C72="","",COUNTA(AI72,AL72,AO72,AR72))</f>
        <v/>
      </c>
      <c r="DC72" s="47">
        <f>IF(C72="","",COUNTA(BM72,BO72,BQ72,BS72,BU72,BW72,BY72,CA72))</f>
        <v/>
      </c>
      <c r="DD72" s="47">
        <f>IF(C72="","",COUNTIF(AV72:BL72,"Yes"))</f>
        <v/>
      </c>
      <c r="DE72" s="47">
        <f>IF(C72="","",COUNTIF(CV72:CZ72,"Yes"))</f>
        <v/>
      </c>
    </row>
    <row r="73">
      <c r="B73" s="46" t="n"/>
      <c r="G73" s="46" t="n"/>
      <c r="AE73" s="46" t="n"/>
      <c r="AH73" s="46" t="n"/>
      <c r="DB73" s="47">
        <f>IF(C73="","",COUNTA(AI73,AL73,AO73,AR73))</f>
        <v/>
      </c>
      <c r="DC73" s="47">
        <f>IF(C73="","",COUNTA(BM73,BO73,BQ73,BS73,BU73,BW73,BY73,CA73))</f>
        <v/>
      </c>
      <c r="DD73" s="47">
        <f>IF(C73="","",COUNTIF(AV73:BL73,"Yes"))</f>
        <v/>
      </c>
      <c r="DE73" s="47">
        <f>IF(C73="","",COUNTIF(CV73:CZ73,"Yes"))</f>
        <v/>
      </c>
    </row>
    <row r="74">
      <c r="B74" s="46" t="n"/>
      <c r="G74" s="46" t="n"/>
      <c r="AE74" s="46" t="n"/>
      <c r="AH74" s="46" t="n"/>
      <c r="DB74" s="47">
        <f>IF(C74="","",COUNTA(AI74,AL74,AO74,AR74))</f>
        <v/>
      </c>
      <c r="DC74" s="47">
        <f>IF(C74="","",COUNTA(BM74,BO74,BQ74,BS74,BU74,BW74,BY74,CA74))</f>
        <v/>
      </c>
      <c r="DD74" s="47">
        <f>IF(C74="","",COUNTIF(AV74:BL74,"Yes"))</f>
        <v/>
      </c>
      <c r="DE74" s="47">
        <f>IF(C74="","",COUNTIF(CV74:CZ74,"Yes"))</f>
        <v/>
      </c>
    </row>
    <row r="75">
      <c r="B75" s="46" t="n"/>
      <c r="G75" s="46" t="n"/>
      <c r="AE75" s="46" t="n"/>
      <c r="AH75" s="46" t="n"/>
      <c r="DB75" s="47">
        <f>IF(C75="","",COUNTA(AI75,AL75,AO75,AR75))</f>
        <v/>
      </c>
      <c r="DC75" s="47">
        <f>IF(C75="","",COUNTA(BM75,BO75,BQ75,BS75,BU75,BW75,BY75,CA75))</f>
        <v/>
      </c>
      <c r="DD75" s="47">
        <f>IF(C75="","",COUNTIF(AV75:BL75,"Yes"))</f>
        <v/>
      </c>
      <c r="DE75" s="47">
        <f>IF(C75="","",COUNTIF(CV75:CZ75,"Yes"))</f>
        <v/>
      </c>
    </row>
    <row r="76">
      <c r="B76" s="46" t="n"/>
      <c r="G76" s="46" t="n"/>
      <c r="AE76" s="46" t="n"/>
      <c r="AH76" s="46" t="n"/>
      <c r="DB76" s="47">
        <f>IF(C76="","",COUNTA(AI76,AL76,AO76,AR76))</f>
        <v/>
      </c>
      <c r="DC76" s="47">
        <f>IF(C76="","",COUNTA(BM76,BO76,BQ76,BS76,BU76,BW76,BY76,CA76))</f>
        <v/>
      </c>
      <c r="DD76" s="47">
        <f>IF(C76="","",COUNTIF(AV76:BL76,"Yes"))</f>
        <v/>
      </c>
      <c r="DE76" s="47">
        <f>IF(C76="","",COUNTIF(CV76:CZ76,"Yes"))</f>
        <v/>
      </c>
    </row>
    <row r="77">
      <c r="B77" s="46" t="n"/>
      <c r="G77" s="46" t="n"/>
      <c r="AE77" s="46" t="n"/>
      <c r="AH77" s="46" t="n"/>
      <c r="DB77" s="47">
        <f>IF(C77="","",COUNTA(AI77,AL77,AO77,AR77))</f>
        <v/>
      </c>
      <c r="DC77" s="47">
        <f>IF(C77="","",COUNTA(BM77,BO77,BQ77,BS77,BU77,BW77,BY77,CA77))</f>
        <v/>
      </c>
      <c r="DD77" s="47">
        <f>IF(C77="","",COUNTIF(AV77:BL77,"Yes"))</f>
        <v/>
      </c>
      <c r="DE77" s="47">
        <f>IF(C77="","",COUNTIF(CV77:CZ77,"Yes"))</f>
        <v/>
      </c>
    </row>
    <row r="78">
      <c r="B78" s="46" t="n"/>
      <c r="G78" s="46" t="n"/>
      <c r="AE78" s="46" t="n"/>
      <c r="AH78" s="46" t="n"/>
      <c r="DB78" s="47">
        <f>IF(C78="","",COUNTA(AI78,AL78,AO78,AR78))</f>
        <v/>
      </c>
      <c r="DC78" s="47">
        <f>IF(C78="","",COUNTA(BM78,BO78,BQ78,BS78,BU78,BW78,BY78,CA78))</f>
        <v/>
      </c>
      <c r="DD78" s="47">
        <f>IF(C78="","",COUNTIF(AV78:BL78,"Yes"))</f>
        <v/>
      </c>
      <c r="DE78" s="47">
        <f>IF(C78="","",COUNTIF(CV78:CZ78,"Yes"))</f>
        <v/>
      </c>
    </row>
    <row r="79">
      <c r="B79" s="46" t="n"/>
      <c r="G79" s="46" t="n"/>
      <c r="AE79" s="46" t="n"/>
      <c r="AH79" s="46" t="n"/>
      <c r="DB79" s="47">
        <f>IF(C79="","",COUNTA(AI79,AL79,AO79,AR79))</f>
        <v/>
      </c>
      <c r="DC79" s="47">
        <f>IF(C79="","",COUNTA(BM79,BO79,BQ79,BS79,BU79,BW79,BY79,CA79))</f>
        <v/>
      </c>
      <c r="DD79" s="47">
        <f>IF(C79="","",COUNTIF(AV79:BL79,"Yes"))</f>
        <v/>
      </c>
      <c r="DE79" s="47">
        <f>IF(C79="","",COUNTIF(CV79:CZ79,"Yes"))</f>
        <v/>
      </c>
    </row>
    <row r="80">
      <c r="B80" s="46" t="n"/>
      <c r="G80" s="46" t="n"/>
      <c r="AE80" s="46" t="n"/>
      <c r="AH80" s="46" t="n"/>
      <c r="DB80" s="47">
        <f>IF(C80="","",COUNTA(AI80,AL80,AO80,AR80))</f>
        <v/>
      </c>
      <c r="DC80" s="47">
        <f>IF(C80="","",COUNTA(BM80,BO80,BQ80,BS80,BU80,BW80,BY80,CA80))</f>
        <v/>
      </c>
      <c r="DD80" s="47">
        <f>IF(C80="","",COUNTIF(AV80:BL80,"Yes"))</f>
        <v/>
      </c>
      <c r="DE80" s="47">
        <f>IF(C80="","",COUNTIF(CV80:CZ80,"Yes"))</f>
        <v/>
      </c>
    </row>
    <row r="81">
      <c r="B81" s="46" t="n"/>
      <c r="G81" s="46" t="n"/>
      <c r="AE81" s="46" t="n"/>
      <c r="AH81" s="46" t="n"/>
      <c r="DB81" s="47">
        <f>IF(C81="","",COUNTA(AI81,AL81,AO81,AR81))</f>
        <v/>
      </c>
      <c r="DC81" s="47">
        <f>IF(C81="","",COUNTA(BM81,BO81,BQ81,BS81,BU81,BW81,BY81,CA81))</f>
        <v/>
      </c>
      <c r="DD81" s="47">
        <f>IF(C81="","",COUNTIF(AV81:BL81,"Yes"))</f>
        <v/>
      </c>
      <c r="DE81" s="47">
        <f>IF(C81="","",COUNTIF(CV81:CZ81,"Yes"))</f>
        <v/>
      </c>
    </row>
    <row r="82">
      <c r="B82" s="46" t="n"/>
      <c r="G82" s="46" t="n"/>
      <c r="AE82" s="46" t="n"/>
      <c r="AH82" s="46" t="n"/>
      <c r="DB82" s="47">
        <f>IF(C82="","",COUNTA(AI82,AL82,AO82,AR82))</f>
        <v/>
      </c>
      <c r="DC82" s="47">
        <f>IF(C82="","",COUNTA(BM82,BO82,BQ82,BS82,BU82,BW82,BY82,CA82))</f>
        <v/>
      </c>
      <c r="DD82" s="47">
        <f>IF(C82="","",COUNTIF(AV82:BL82,"Yes"))</f>
        <v/>
      </c>
      <c r="DE82" s="47">
        <f>IF(C82="","",COUNTIF(CV82:CZ82,"Yes"))</f>
        <v/>
      </c>
    </row>
    <row r="83">
      <c r="B83" s="46" t="n"/>
      <c r="G83" s="46" t="n"/>
      <c r="AE83" s="46" t="n"/>
      <c r="AH83" s="46" t="n"/>
      <c r="DB83" s="47">
        <f>IF(C83="","",COUNTA(AI83,AL83,AO83,AR83))</f>
        <v/>
      </c>
      <c r="DC83" s="47">
        <f>IF(C83="","",COUNTA(BM83,BO83,BQ83,BS83,BU83,BW83,BY83,CA83))</f>
        <v/>
      </c>
      <c r="DD83" s="47">
        <f>IF(C83="","",COUNTIF(AV83:BL83,"Yes"))</f>
        <v/>
      </c>
      <c r="DE83" s="47">
        <f>IF(C83="","",COUNTIF(CV83:CZ83,"Yes"))</f>
        <v/>
      </c>
    </row>
    <row r="84">
      <c r="B84" s="46" t="n"/>
      <c r="G84" s="46" t="n"/>
      <c r="AE84" s="46" t="n"/>
      <c r="AH84" s="46" t="n"/>
      <c r="DB84" s="47">
        <f>IF(C84="","",COUNTA(AI84,AL84,AO84,AR84))</f>
        <v/>
      </c>
      <c r="DC84" s="47">
        <f>IF(C84="","",COUNTA(BM84,BO84,BQ84,BS84,BU84,BW84,BY84,CA84))</f>
        <v/>
      </c>
      <c r="DD84" s="47">
        <f>IF(C84="","",COUNTIF(AV84:BL84,"Yes"))</f>
        <v/>
      </c>
      <c r="DE84" s="47">
        <f>IF(C84="","",COUNTIF(CV84:CZ84,"Yes"))</f>
        <v/>
      </c>
    </row>
    <row r="85">
      <c r="B85" s="46" t="n"/>
      <c r="G85" s="46" t="n"/>
      <c r="AE85" s="46" t="n"/>
      <c r="AH85" s="46" t="n"/>
      <c r="DB85" s="47">
        <f>IF(C85="","",COUNTA(AI85,AL85,AO85,AR85))</f>
        <v/>
      </c>
      <c r="DC85" s="47">
        <f>IF(C85="","",COUNTA(BM85,BO85,BQ85,BS85,BU85,BW85,BY85,CA85))</f>
        <v/>
      </c>
      <c r="DD85" s="47">
        <f>IF(C85="","",COUNTIF(AV85:BL85,"Yes"))</f>
        <v/>
      </c>
      <c r="DE85" s="47">
        <f>IF(C85="","",COUNTIF(CV85:CZ85,"Yes"))</f>
        <v/>
      </c>
    </row>
    <row r="86">
      <c r="B86" s="46" t="n"/>
      <c r="G86" s="46" t="n"/>
      <c r="AE86" s="46" t="n"/>
      <c r="AH86" s="46" t="n"/>
      <c r="DB86" s="47">
        <f>IF(C86="","",COUNTA(AI86,AL86,AO86,AR86))</f>
        <v/>
      </c>
      <c r="DC86" s="47">
        <f>IF(C86="","",COUNTA(BM86,BO86,BQ86,BS86,BU86,BW86,BY86,CA86))</f>
        <v/>
      </c>
      <c r="DD86" s="47">
        <f>IF(C86="","",COUNTIF(AV86:BL86,"Yes"))</f>
        <v/>
      </c>
      <c r="DE86" s="47">
        <f>IF(C86="","",COUNTIF(CV86:CZ86,"Yes"))</f>
        <v/>
      </c>
    </row>
    <row r="87">
      <c r="B87" s="46" t="n"/>
      <c r="G87" s="46" t="n"/>
      <c r="AE87" s="46" t="n"/>
      <c r="AH87" s="46" t="n"/>
      <c r="DB87" s="47">
        <f>IF(C87="","",COUNTA(AI87,AL87,AO87,AR87))</f>
        <v/>
      </c>
      <c r="DC87" s="47">
        <f>IF(C87="","",COUNTA(BM87,BO87,BQ87,BS87,BU87,BW87,BY87,CA87))</f>
        <v/>
      </c>
      <c r="DD87" s="47">
        <f>IF(C87="","",COUNTIF(AV87:BL87,"Yes"))</f>
        <v/>
      </c>
      <c r="DE87" s="47">
        <f>IF(C87="","",COUNTIF(CV87:CZ87,"Yes"))</f>
        <v/>
      </c>
    </row>
    <row r="88">
      <c r="B88" s="46" t="n"/>
      <c r="G88" s="46" t="n"/>
      <c r="AE88" s="46" t="n"/>
      <c r="AH88" s="46" t="n"/>
      <c r="DB88" s="47">
        <f>IF(C88="","",COUNTA(AI88,AL88,AO88,AR88))</f>
        <v/>
      </c>
      <c r="DC88" s="47">
        <f>IF(C88="","",COUNTA(BM88,BO88,BQ88,BS88,BU88,BW88,BY88,CA88))</f>
        <v/>
      </c>
      <c r="DD88" s="47">
        <f>IF(C88="","",COUNTIF(AV88:BL88,"Yes"))</f>
        <v/>
      </c>
      <c r="DE88" s="47">
        <f>IF(C88="","",COUNTIF(CV88:CZ88,"Yes"))</f>
        <v/>
      </c>
    </row>
    <row r="89">
      <c r="B89" s="46" t="n"/>
      <c r="G89" s="46" t="n"/>
      <c r="AE89" s="46" t="n"/>
      <c r="AH89" s="46" t="n"/>
      <c r="DB89" s="47">
        <f>IF(C89="","",COUNTA(AI89,AL89,AO89,AR89))</f>
        <v/>
      </c>
      <c r="DC89" s="47">
        <f>IF(C89="","",COUNTA(BM89,BO89,BQ89,BS89,BU89,BW89,BY89,CA89))</f>
        <v/>
      </c>
      <c r="DD89" s="47">
        <f>IF(C89="","",COUNTIF(AV89:BL89,"Yes"))</f>
        <v/>
      </c>
      <c r="DE89" s="47">
        <f>IF(C89="","",COUNTIF(CV89:CZ89,"Yes"))</f>
        <v/>
      </c>
    </row>
    <row r="90">
      <c r="B90" s="46" t="n"/>
      <c r="G90" s="46" t="n"/>
      <c r="AE90" s="46" t="n"/>
      <c r="AH90" s="46" t="n"/>
      <c r="DB90" s="47">
        <f>IF(C90="","",COUNTA(AI90,AL90,AO90,AR90))</f>
        <v/>
      </c>
      <c r="DC90" s="47">
        <f>IF(C90="","",COUNTA(BM90,BO90,BQ90,BS90,BU90,BW90,BY90,CA90))</f>
        <v/>
      </c>
      <c r="DD90" s="47">
        <f>IF(C90="","",COUNTIF(AV90:BL90,"Yes"))</f>
        <v/>
      </c>
      <c r="DE90" s="47">
        <f>IF(C90="","",COUNTIF(CV90:CZ90,"Yes"))</f>
        <v/>
      </c>
    </row>
    <row r="91">
      <c r="B91" s="46" t="n"/>
      <c r="G91" s="46" t="n"/>
      <c r="AE91" s="46" t="n"/>
      <c r="AH91" s="46" t="n"/>
      <c r="DB91" s="47">
        <f>IF(C91="","",COUNTA(AI91,AL91,AO91,AR91))</f>
        <v/>
      </c>
      <c r="DC91" s="47">
        <f>IF(C91="","",COUNTA(BM91,BO91,BQ91,BS91,BU91,BW91,BY91,CA91))</f>
        <v/>
      </c>
      <c r="DD91" s="47">
        <f>IF(C91="","",COUNTIF(AV91:BL91,"Yes"))</f>
        <v/>
      </c>
      <c r="DE91" s="47">
        <f>IF(C91="","",COUNTIF(CV91:CZ91,"Yes"))</f>
        <v/>
      </c>
    </row>
    <row r="92">
      <c r="B92" s="46" t="n"/>
      <c r="G92" s="46" t="n"/>
      <c r="AE92" s="46" t="n"/>
      <c r="AH92" s="46" t="n"/>
      <c r="DB92" s="47">
        <f>IF(C92="","",COUNTA(AI92,AL92,AO92,AR92))</f>
        <v/>
      </c>
      <c r="DC92" s="47">
        <f>IF(C92="","",COUNTA(BM92,BO92,BQ92,BS92,BU92,BW92,BY92,CA92))</f>
        <v/>
      </c>
      <c r="DD92" s="47">
        <f>IF(C92="","",COUNTIF(AV92:BL92,"Yes"))</f>
        <v/>
      </c>
      <c r="DE92" s="47">
        <f>IF(C92="","",COUNTIF(CV92:CZ92,"Yes"))</f>
        <v/>
      </c>
    </row>
    <row r="93">
      <c r="B93" s="46" t="n"/>
      <c r="G93" s="46" t="n"/>
      <c r="AE93" s="46" t="n"/>
      <c r="AH93" s="46" t="n"/>
      <c r="DB93" s="47">
        <f>IF(C93="","",COUNTA(AI93,AL93,AO93,AR93))</f>
        <v/>
      </c>
      <c r="DC93" s="47">
        <f>IF(C93="","",COUNTA(BM93,BO93,BQ93,BS93,BU93,BW93,BY93,CA93))</f>
        <v/>
      </c>
      <c r="DD93" s="47">
        <f>IF(C93="","",COUNTIF(AV93:BL93,"Yes"))</f>
        <v/>
      </c>
      <c r="DE93" s="47">
        <f>IF(C93="","",COUNTIF(CV93:CZ93,"Yes"))</f>
        <v/>
      </c>
    </row>
    <row r="94">
      <c r="B94" s="46" t="n"/>
      <c r="G94" s="46" t="n"/>
      <c r="AE94" s="46" t="n"/>
      <c r="AH94" s="46" t="n"/>
      <c r="DB94" s="47">
        <f>IF(C94="","",COUNTA(AI94,AL94,AO94,AR94))</f>
        <v/>
      </c>
      <c r="DC94" s="47">
        <f>IF(C94="","",COUNTA(BM94,BO94,BQ94,BS94,BU94,BW94,BY94,CA94))</f>
        <v/>
      </c>
      <c r="DD94" s="47">
        <f>IF(C94="","",COUNTIF(AV94:BL94,"Yes"))</f>
        <v/>
      </c>
      <c r="DE94" s="47">
        <f>IF(C94="","",COUNTIF(CV94:CZ94,"Yes"))</f>
        <v/>
      </c>
    </row>
    <row r="95">
      <c r="B95" s="46" t="n"/>
      <c r="G95" s="46" t="n"/>
      <c r="AE95" s="46" t="n"/>
      <c r="AH95" s="46" t="n"/>
      <c r="DB95" s="47">
        <f>IF(C95="","",COUNTA(AI95,AL95,AO95,AR95))</f>
        <v/>
      </c>
      <c r="DC95" s="47">
        <f>IF(C95="","",COUNTA(BM95,BO95,BQ95,BS95,BU95,BW95,BY95,CA95))</f>
        <v/>
      </c>
      <c r="DD95" s="47">
        <f>IF(C95="","",COUNTIF(AV95:BL95,"Yes"))</f>
        <v/>
      </c>
      <c r="DE95" s="47">
        <f>IF(C95="","",COUNTIF(CV95:CZ95,"Yes"))</f>
        <v/>
      </c>
    </row>
    <row r="96">
      <c r="B96" s="46" t="n"/>
      <c r="G96" s="46" t="n"/>
      <c r="AE96" s="46" t="n"/>
      <c r="AH96" s="46" t="n"/>
      <c r="DB96" s="47">
        <f>IF(C96="","",COUNTA(AI96,AL96,AO96,AR96))</f>
        <v/>
      </c>
      <c r="DC96" s="47">
        <f>IF(C96="","",COUNTA(BM96,BO96,BQ96,BS96,BU96,BW96,BY96,CA96))</f>
        <v/>
      </c>
      <c r="DD96" s="47">
        <f>IF(C96="","",COUNTIF(AV96:BL96,"Yes"))</f>
        <v/>
      </c>
      <c r="DE96" s="47">
        <f>IF(C96="","",COUNTIF(CV96:CZ96,"Yes"))</f>
        <v/>
      </c>
    </row>
    <row r="97">
      <c r="B97" s="46" t="n"/>
      <c r="G97" s="46" t="n"/>
      <c r="AE97" s="46" t="n"/>
      <c r="AH97" s="46" t="n"/>
      <c r="DB97" s="47">
        <f>IF(C97="","",COUNTA(AI97,AL97,AO97,AR97))</f>
        <v/>
      </c>
      <c r="DC97" s="47">
        <f>IF(C97="","",COUNTA(BM97,BO97,BQ97,BS97,BU97,BW97,BY97,CA97))</f>
        <v/>
      </c>
      <c r="DD97" s="47">
        <f>IF(C97="","",COUNTIF(AV97:BL97,"Yes"))</f>
        <v/>
      </c>
      <c r="DE97" s="47">
        <f>IF(C97="","",COUNTIF(CV97:CZ97,"Yes"))</f>
        <v/>
      </c>
    </row>
    <row r="98">
      <c r="B98" s="46" t="n"/>
      <c r="G98" s="46" t="n"/>
      <c r="AE98" s="46" t="n"/>
      <c r="AH98" s="46" t="n"/>
      <c r="DB98" s="47">
        <f>IF(C98="","",COUNTA(AI98,AL98,AO98,AR98))</f>
        <v/>
      </c>
      <c r="DC98" s="47">
        <f>IF(C98="","",COUNTA(BM98,BO98,BQ98,BS98,BU98,BW98,BY98,CA98))</f>
        <v/>
      </c>
      <c r="DD98" s="47">
        <f>IF(C98="","",COUNTIF(AV98:BL98,"Yes"))</f>
        <v/>
      </c>
      <c r="DE98" s="47">
        <f>IF(C98="","",COUNTIF(CV98:CZ98,"Yes"))</f>
        <v/>
      </c>
    </row>
    <row r="99">
      <c r="B99" s="46" t="n"/>
      <c r="G99" s="46" t="n"/>
      <c r="AE99" s="46" t="n"/>
      <c r="AH99" s="46" t="n"/>
      <c r="DB99" s="47">
        <f>IF(C99="","",COUNTA(AI99,AL99,AO99,AR99))</f>
        <v/>
      </c>
      <c r="DC99" s="47">
        <f>IF(C99="","",COUNTA(BM99,BO99,BQ99,BS99,BU99,BW99,BY99,CA99))</f>
        <v/>
      </c>
      <c r="DD99" s="47">
        <f>IF(C99="","",COUNTIF(AV99:BL99,"Yes"))</f>
        <v/>
      </c>
      <c r="DE99" s="47">
        <f>IF(C99="","",COUNTIF(CV99:CZ99,"Yes"))</f>
        <v/>
      </c>
    </row>
    <row r="100">
      <c r="B100" s="46" t="n"/>
      <c r="G100" s="46" t="n"/>
      <c r="AE100" s="46" t="n"/>
      <c r="AH100" s="46" t="n"/>
      <c r="DB100" s="47">
        <f>IF(C100="","",COUNTA(AI100,AL100,AO100,AR100))</f>
        <v/>
      </c>
      <c r="DC100" s="47">
        <f>IF(C100="","",COUNTA(BM100,BO100,BQ100,BS100,BU100,BW100,BY100,CA100))</f>
        <v/>
      </c>
      <c r="DD100" s="47">
        <f>IF(C100="","",COUNTIF(AV100:BL100,"Yes"))</f>
        <v/>
      </c>
      <c r="DE100" s="47">
        <f>IF(C100="","",COUNTIF(CV100:CZ100,"Yes"))</f>
        <v/>
      </c>
    </row>
    <row r="101">
      <c r="B101" s="46" t="n"/>
      <c r="G101" s="46" t="n"/>
      <c r="AE101" s="46" t="n"/>
      <c r="AH101" s="46" t="n"/>
      <c r="DB101" s="47">
        <f>IF(C101="","",COUNTA(AI101,AL101,AO101,AR101))</f>
        <v/>
      </c>
      <c r="DC101" s="47">
        <f>IF(C101="","",COUNTA(BM101,BO101,BQ101,BS101,BU101,BW101,BY101,CA101))</f>
        <v/>
      </c>
      <c r="DD101" s="47">
        <f>IF(C101="","",COUNTIF(AV101:BL101,"Yes"))</f>
        <v/>
      </c>
      <c r="DE101" s="47">
        <f>IF(C101="","",COUNTIF(CV101:CZ101,"Yes"))</f>
        <v/>
      </c>
    </row>
    <row r="102">
      <c r="B102" s="46" t="n"/>
      <c r="G102" s="46" t="n"/>
      <c r="AE102" s="46" t="n"/>
      <c r="AH102" s="46" t="n"/>
      <c r="DB102" s="47">
        <f>IF(C102="","",COUNTA(AI102,AL102,AO102,AR102))</f>
        <v/>
      </c>
      <c r="DC102" s="47">
        <f>IF(C102="","",COUNTA(BM102,BO102,BQ102,BS102,BU102,BW102,BY102,CA102))</f>
        <v/>
      </c>
      <c r="DD102" s="47">
        <f>IF(C102="","",COUNTIF(AV102:BL102,"Yes"))</f>
        <v/>
      </c>
      <c r="DE102" s="47">
        <f>IF(C102="","",COUNTIF(CV102:CZ102,"Yes"))</f>
        <v/>
      </c>
    </row>
    <row r="103">
      <c r="B103" s="46" t="n"/>
      <c r="G103" s="46" t="n"/>
      <c r="AE103" s="46" t="n"/>
      <c r="AH103" s="46" t="n"/>
      <c r="DB103" s="47">
        <f>IF(C103="","",COUNTA(AI103,AL103,AO103,AR103))</f>
        <v/>
      </c>
      <c r="DC103" s="47">
        <f>IF(C103="","",COUNTA(BM103,BO103,BQ103,BS103,BU103,BW103,BY103,CA103))</f>
        <v/>
      </c>
      <c r="DD103" s="47">
        <f>IF(C103="","",COUNTIF(AV103:BL103,"Yes"))</f>
        <v/>
      </c>
      <c r="DE103" s="47">
        <f>IF(C103="","",COUNTIF(CV103:CZ103,"Yes"))</f>
        <v/>
      </c>
    </row>
    <row r="104">
      <c r="B104" s="46" t="n"/>
      <c r="G104" s="46" t="n"/>
      <c r="AE104" s="46" t="n"/>
      <c r="AH104" s="46" t="n"/>
      <c r="DB104" s="47">
        <f>IF(C104="","",COUNTA(AI104,AL104,AO104,AR104))</f>
        <v/>
      </c>
      <c r="DC104" s="47">
        <f>IF(C104="","",COUNTA(BM104,BO104,BQ104,BS104,BU104,BW104,BY104,CA104))</f>
        <v/>
      </c>
      <c r="DD104" s="47">
        <f>IF(C104="","",COUNTIF(AV104:BL104,"Yes"))</f>
        <v/>
      </c>
      <c r="DE104" s="47">
        <f>IF(C104="","",COUNTIF(CV104:CZ104,"Yes"))</f>
        <v/>
      </c>
    </row>
    <row r="105">
      <c r="B105" s="46" t="n"/>
      <c r="G105" s="46" t="n"/>
      <c r="AE105" s="46" t="n"/>
      <c r="AH105" s="46" t="n"/>
      <c r="DB105" s="47">
        <f>IF(C105="","",COUNTA(AI105,AL105,AO105,AR105))</f>
        <v/>
      </c>
      <c r="DC105" s="47">
        <f>IF(C105="","",COUNTA(BM105,BO105,BQ105,BS105,BU105,BW105,BY105,CA105))</f>
        <v/>
      </c>
      <c r="DD105" s="47">
        <f>IF(C105="","",COUNTIF(AV105:BL105,"Yes"))</f>
        <v/>
      </c>
      <c r="DE105" s="47">
        <f>IF(C105="","",COUNTIF(CV105:CZ105,"Yes"))</f>
        <v/>
      </c>
    </row>
    <row r="106">
      <c r="B106" s="46" t="n"/>
      <c r="G106" s="46" t="n"/>
      <c r="AE106" s="46" t="n"/>
      <c r="AH106" s="46" t="n"/>
      <c r="DB106" s="47">
        <f>IF(C106="","",COUNTA(AI106,AL106,AO106,AR106))</f>
        <v/>
      </c>
      <c r="DC106" s="47">
        <f>IF(C106="","",COUNTA(BM106,BO106,BQ106,BS106,BU106,BW106,BY106,CA106))</f>
        <v/>
      </c>
      <c r="DD106" s="47">
        <f>IF(C106="","",COUNTIF(AV106:BL106,"Yes"))</f>
        <v/>
      </c>
      <c r="DE106" s="47">
        <f>IF(C106="","",COUNTIF(CV106:CZ106,"Yes"))</f>
        <v/>
      </c>
    </row>
    <row r="107">
      <c r="B107" s="46" t="n"/>
      <c r="G107" s="46" t="n"/>
      <c r="AE107" s="46" t="n"/>
      <c r="AH107" s="46" t="n"/>
      <c r="DB107" s="47">
        <f>IF(C107="","",COUNTA(AI107,AL107,AO107,AR107))</f>
        <v/>
      </c>
      <c r="DC107" s="47">
        <f>IF(C107="","",COUNTA(BM107,BO107,BQ107,BS107,BU107,BW107,BY107,CA107))</f>
        <v/>
      </c>
      <c r="DD107" s="47">
        <f>IF(C107="","",COUNTIF(AV107:BL107,"Yes"))</f>
        <v/>
      </c>
      <c r="DE107" s="47">
        <f>IF(C107="","",COUNTIF(CV107:CZ107,"Yes"))</f>
        <v/>
      </c>
    </row>
    <row r="108">
      <c r="B108" s="46" t="n"/>
      <c r="G108" s="46" t="n"/>
      <c r="AE108" s="46" t="n"/>
      <c r="AH108" s="46" t="n"/>
      <c r="DB108" s="47">
        <f>IF(C108="","",COUNTA(AI108,AL108,AO108,AR108))</f>
        <v/>
      </c>
      <c r="DC108" s="47">
        <f>IF(C108="","",COUNTA(BM108,BO108,BQ108,BS108,BU108,BW108,BY108,CA108))</f>
        <v/>
      </c>
      <c r="DD108" s="47">
        <f>IF(C108="","",COUNTIF(AV108:BL108,"Yes"))</f>
        <v/>
      </c>
      <c r="DE108" s="47">
        <f>IF(C108="","",COUNTIF(CV108:CZ108,"Yes"))</f>
        <v/>
      </c>
    </row>
    <row r="109">
      <c r="B109" s="46" t="n"/>
      <c r="G109" s="46" t="n"/>
      <c r="AE109" s="46" t="n"/>
      <c r="AH109" s="46" t="n"/>
      <c r="DB109" s="47">
        <f>IF(C109="","",COUNTA(AI109,AL109,AO109,AR109))</f>
        <v/>
      </c>
      <c r="DC109" s="47">
        <f>IF(C109="","",COUNTA(BM109,BO109,BQ109,BS109,BU109,BW109,BY109,CA109))</f>
        <v/>
      </c>
      <c r="DD109" s="47">
        <f>IF(C109="","",COUNTIF(AV109:BL109,"Yes"))</f>
        <v/>
      </c>
      <c r="DE109" s="47">
        <f>IF(C109="","",COUNTIF(CV109:CZ109,"Yes"))</f>
        <v/>
      </c>
    </row>
    <row r="110">
      <c r="B110" s="46" t="n"/>
      <c r="G110" s="46" t="n"/>
      <c r="AE110" s="46" t="n"/>
      <c r="AH110" s="46" t="n"/>
      <c r="DB110" s="47">
        <f>IF(C110="","",COUNTA(AI110,AL110,AO110,AR110))</f>
        <v/>
      </c>
      <c r="DC110" s="47">
        <f>IF(C110="","",COUNTA(BM110,BO110,BQ110,BS110,BU110,BW110,BY110,CA110))</f>
        <v/>
      </c>
      <c r="DD110" s="47">
        <f>IF(C110="","",COUNTIF(AV110:BL110,"Yes"))</f>
        <v/>
      </c>
      <c r="DE110" s="47">
        <f>IF(C110="","",COUNTIF(CV110:CZ110,"Yes"))</f>
        <v/>
      </c>
    </row>
    <row r="111">
      <c r="B111" s="46" t="n"/>
      <c r="G111" s="46" t="n"/>
      <c r="AE111" s="46" t="n"/>
      <c r="AH111" s="46" t="n"/>
      <c r="DB111" s="47">
        <f>IF(C111="","",COUNTA(AI111,AL111,AO111,AR111))</f>
        <v/>
      </c>
      <c r="DC111" s="47">
        <f>IF(C111="","",COUNTA(BM111,BO111,BQ111,BS111,BU111,BW111,BY111,CA111))</f>
        <v/>
      </c>
      <c r="DD111" s="47">
        <f>IF(C111="","",COUNTIF(AV111:BL111,"Yes"))</f>
        <v/>
      </c>
      <c r="DE111" s="47">
        <f>IF(C111="","",COUNTIF(CV111:CZ111,"Yes"))</f>
        <v/>
      </c>
    </row>
    <row r="112">
      <c r="B112" s="46" t="n"/>
      <c r="G112" s="46" t="n"/>
      <c r="AE112" s="46" t="n"/>
      <c r="AH112" s="46" t="n"/>
      <c r="DB112" s="47">
        <f>IF(C112="","",COUNTA(AI112,AL112,AO112,AR112))</f>
        <v/>
      </c>
      <c r="DC112" s="47">
        <f>IF(C112="","",COUNTA(BM112,BO112,BQ112,BS112,BU112,BW112,BY112,CA112))</f>
        <v/>
      </c>
      <c r="DD112" s="47">
        <f>IF(C112="","",COUNTIF(AV112:BL112,"Yes"))</f>
        <v/>
      </c>
      <c r="DE112" s="47">
        <f>IF(C112="","",COUNTIF(CV112:CZ112,"Yes"))</f>
        <v/>
      </c>
    </row>
    <row r="113">
      <c r="B113" s="46" t="n"/>
      <c r="G113" s="46" t="n"/>
      <c r="AE113" s="46" t="n"/>
      <c r="AH113" s="46" t="n"/>
      <c r="DB113" s="47">
        <f>IF(C113="","",COUNTA(AI113,AL113,AO113,AR113))</f>
        <v/>
      </c>
      <c r="DC113" s="47">
        <f>IF(C113="","",COUNTA(BM113,BO113,BQ113,BS113,BU113,BW113,BY113,CA113))</f>
        <v/>
      </c>
      <c r="DD113" s="47">
        <f>IF(C113="","",COUNTIF(AV113:BL113,"Yes"))</f>
        <v/>
      </c>
      <c r="DE113" s="47">
        <f>IF(C113="","",COUNTIF(CV113:CZ113,"Yes"))</f>
        <v/>
      </c>
    </row>
    <row r="114">
      <c r="B114" s="46" t="n"/>
      <c r="G114" s="46" t="n"/>
      <c r="AE114" s="46" t="n"/>
      <c r="AH114" s="46" t="n"/>
      <c r="DB114" s="47">
        <f>IF(C114="","",COUNTA(AI114,AL114,AO114,AR114))</f>
        <v/>
      </c>
      <c r="DC114" s="47">
        <f>IF(C114="","",COUNTA(BM114,BO114,BQ114,BS114,BU114,BW114,BY114,CA114))</f>
        <v/>
      </c>
      <c r="DD114" s="47">
        <f>IF(C114="","",COUNTIF(AV114:BL114,"Yes"))</f>
        <v/>
      </c>
      <c r="DE114" s="47">
        <f>IF(C114="","",COUNTIF(CV114:CZ114,"Yes"))</f>
        <v/>
      </c>
    </row>
    <row r="115">
      <c r="B115" s="46" t="n"/>
      <c r="G115" s="46" t="n"/>
      <c r="AE115" s="46" t="n"/>
      <c r="AH115" s="46" t="n"/>
      <c r="DB115" s="47">
        <f>IF(C115="","",COUNTA(AI115,AL115,AO115,AR115))</f>
        <v/>
      </c>
      <c r="DC115" s="47">
        <f>IF(C115="","",COUNTA(BM115,BO115,BQ115,BS115,BU115,BW115,BY115,CA115))</f>
        <v/>
      </c>
      <c r="DD115" s="47">
        <f>IF(C115="","",COUNTIF(AV115:BL115,"Yes"))</f>
        <v/>
      </c>
      <c r="DE115" s="47">
        <f>IF(C115="","",COUNTIF(CV115:CZ115,"Yes"))</f>
        <v/>
      </c>
    </row>
    <row r="116">
      <c r="B116" s="46" t="n"/>
      <c r="G116" s="46" t="n"/>
      <c r="AE116" s="46" t="n"/>
      <c r="AH116" s="46" t="n"/>
      <c r="DB116" s="47">
        <f>IF(C116="","",COUNTA(AI116,AL116,AO116,AR116))</f>
        <v/>
      </c>
      <c r="DC116" s="47">
        <f>IF(C116="","",COUNTA(BM116,BO116,BQ116,BS116,BU116,BW116,BY116,CA116))</f>
        <v/>
      </c>
      <c r="DD116" s="47">
        <f>IF(C116="","",COUNTIF(AV116:BL116,"Yes"))</f>
        <v/>
      </c>
      <c r="DE116" s="47">
        <f>IF(C116="","",COUNTIF(CV116:CZ116,"Yes"))</f>
        <v/>
      </c>
    </row>
    <row r="117">
      <c r="B117" s="46" t="n"/>
      <c r="G117" s="46" t="n"/>
      <c r="AE117" s="46" t="n"/>
      <c r="AH117" s="46" t="n"/>
      <c r="DB117" s="47">
        <f>IF(C117="","",COUNTA(AI117,AL117,AO117,AR117))</f>
        <v/>
      </c>
      <c r="DC117" s="47">
        <f>IF(C117="","",COUNTA(BM117,BO117,BQ117,BS117,BU117,BW117,BY117,CA117))</f>
        <v/>
      </c>
      <c r="DD117" s="47">
        <f>IF(C117="","",COUNTIF(AV117:BL117,"Yes"))</f>
        <v/>
      </c>
      <c r="DE117" s="47">
        <f>IF(C117="","",COUNTIF(CV117:CZ117,"Yes"))</f>
        <v/>
      </c>
    </row>
    <row r="118">
      <c r="B118" s="46" t="n"/>
      <c r="G118" s="46" t="n"/>
      <c r="AE118" s="46" t="n"/>
      <c r="AH118" s="46" t="n"/>
      <c r="DB118" s="47">
        <f>IF(C118="","",COUNTA(AI118,AL118,AO118,AR118))</f>
        <v/>
      </c>
      <c r="DC118" s="47">
        <f>IF(C118="","",COUNTA(BM118,BO118,BQ118,BS118,BU118,BW118,BY118,CA118))</f>
        <v/>
      </c>
      <c r="DD118" s="47">
        <f>IF(C118="","",COUNTIF(AV118:BL118,"Yes"))</f>
        <v/>
      </c>
      <c r="DE118" s="47">
        <f>IF(C118="","",COUNTIF(CV118:CZ118,"Yes"))</f>
        <v/>
      </c>
    </row>
    <row r="119">
      <c r="B119" s="46" t="n"/>
      <c r="G119" s="46" t="n"/>
      <c r="AE119" s="46" t="n"/>
      <c r="AH119" s="46" t="n"/>
      <c r="DB119" s="47">
        <f>IF(C119="","",COUNTA(AI119,AL119,AO119,AR119))</f>
        <v/>
      </c>
      <c r="DC119" s="47">
        <f>IF(C119="","",COUNTA(BM119,BO119,BQ119,BS119,BU119,BW119,BY119,CA119))</f>
        <v/>
      </c>
      <c r="DD119" s="47">
        <f>IF(C119="","",COUNTIF(AV119:BL119,"Yes"))</f>
        <v/>
      </c>
      <c r="DE119" s="47">
        <f>IF(C119="","",COUNTIF(CV119:CZ119,"Yes"))</f>
        <v/>
      </c>
    </row>
    <row r="120">
      <c r="B120" s="46" t="n"/>
      <c r="G120" s="46" t="n"/>
      <c r="AE120" s="46" t="n"/>
      <c r="AH120" s="46" t="n"/>
      <c r="DB120" s="47">
        <f>IF(C120="","",COUNTA(AI120,AL120,AO120,AR120))</f>
        <v/>
      </c>
      <c r="DC120" s="47">
        <f>IF(C120="","",COUNTA(BM120,BO120,BQ120,BS120,BU120,BW120,BY120,CA120))</f>
        <v/>
      </c>
      <c r="DD120" s="47">
        <f>IF(C120="","",COUNTIF(AV120:BL120,"Yes"))</f>
        <v/>
      </c>
      <c r="DE120" s="47">
        <f>IF(C120="","",COUNTIF(CV120:CZ120,"Yes"))</f>
        <v/>
      </c>
    </row>
    <row r="121">
      <c r="B121" s="46" t="n"/>
      <c r="G121" s="46" t="n"/>
      <c r="AE121" s="46" t="n"/>
      <c r="AH121" s="46" t="n"/>
      <c r="DB121" s="47">
        <f>IF(C121="","",COUNTA(AI121,AL121,AO121,AR121))</f>
        <v/>
      </c>
      <c r="DC121" s="47">
        <f>IF(C121="","",COUNTA(BM121,BO121,BQ121,BS121,BU121,BW121,BY121,CA121))</f>
        <v/>
      </c>
      <c r="DD121" s="47">
        <f>IF(C121="","",COUNTIF(AV121:BL121,"Yes"))</f>
        <v/>
      </c>
      <c r="DE121" s="47">
        <f>IF(C121="","",COUNTIF(CV121:CZ121,"Yes"))</f>
        <v/>
      </c>
    </row>
    <row r="122">
      <c r="B122" s="46" t="n"/>
      <c r="G122" s="46" t="n"/>
      <c r="AE122" s="46" t="n"/>
      <c r="AH122" s="46" t="n"/>
      <c r="DB122" s="47">
        <f>IF(C122="","",COUNTA(AI122,AL122,AO122,AR122))</f>
        <v/>
      </c>
      <c r="DC122" s="47">
        <f>IF(C122="","",COUNTA(BM122,BO122,BQ122,BS122,BU122,BW122,BY122,CA122))</f>
        <v/>
      </c>
      <c r="DD122" s="47">
        <f>IF(C122="","",COUNTIF(AV122:BL122,"Yes"))</f>
        <v/>
      </c>
      <c r="DE122" s="47">
        <f>IF(C122="","",COUNTIF(CV122:CZ122,"Yes"))</f>
        <v/>
      </c>
    </row>
    <row r="123">
      <c r="B123" s="46" t="n"/>
      <c r="G123" s="46" t="n"/>
      <c r="AE123" s="46" t="n"/>
      <c r="AH123" s="46" t="n"/>
      <c r="DB123" s="47">
        <f>IF(C123="","",COUNTA(AI123,AL123,AO123,AR123))</f>
        <v/>
      </c>
      <c r="DC123" s="47">
        <f>IF(C123="","",COUNTA(BM123,BO123,BQ123,BS123,BU123,BW123,BY123,CA123))</f>
        <v/>
      </c>
      <c r="DD123" s="47">
        <f>IF(C123="","",COUNTIF(AV123:BL123,"Yes"))</f>
        <v/>
      </c>
      <c r="DE123" s="47">
        <f>IF(C123="","",COUNTIF(CV123:CZ123,"Yes"))</f>
        <v/>
      </c>
    </row>
    <row r="124">
      <c r="B124" s="46" t="n"/>
      <c r="G124" s="46" t="n"/>
      <c r="AE124" s="46" t="n"/>
      <c r="AH124" s="46" t="n"/>
      <c r="DB124" s="47">
        <f>IF(C124="","",COUNTA(AI124,AL124,AO124,AR124))</f>
        <v/>
      </c>
      <c r="DC124" s="47">
        <f>IF(C124="","",COUNTA(BM124,BO124,BQ124,BS124,BU124,BW124,BY124,CA124))</f>
        <v/>
      </c>
      <c r="DD124" s="47">
        <f>IF(C124="","",COUNTIF(AV124:BL124,"Yes"))</f>
        <v/>
      </c>
      <c r="DE124" s="47">
        <f>IF(C124="","",COUNTIF(CV124:CZ124,"Yes"))</f>
        <v/>
      </c>
    </row>
    <row r="125">
      <c r="B125" s="46" t="n"/>
      <c r="G125" s="46" t="n"/>
      <c r="AE125" s="46" t="n"/>
      <c r="AH125" s="46" t="n"/>
      <c r="DB125" s="47">
        <f>IF(C125="","",COUNTA(AI125,AL125,AO125,AR125))</f>
        <v/>
      </c>
      <c r="DC125" s="47">
        <f>IF(C125="","",COUNTA(BM125,BO125,BQ125,BS125,BU125,BW125,BY125,CA125))</f>
        <v/>
      </c>
      <c r="DD125" s="47">
        <f>IF(C125="","",COUNTIF(AV125:BL125,"Yes"))</f>
        <v/>
      </c>
      <c r="DE125" s="47">
        <f>IF(C125="","",COUNTIF(CV125:CZ125,"Yes"))</f>
        <v/>
      </c>
    </row>
    <row r="126">
      <c r="B126" s="46" t="n"/>
      <c r="G126" s="46" t="n"/>
      <c r="AE126" s="46" t="n"/>
      <c r="AH126" s="46" t="n"/>
      <c r="DB126" s="47">
        <f>IF(C126="","",COUNTA(AI126,AL126,AO126,AR126))</f>
        <v/>
      </c>
      <c r="DC126" s="47">
        <f>IF(C126="","",COUNTA(BM126,BO126,BQ126,BS126,BU126,BW126,BY126,CA126))</f>
        <v/>
      </c>
      <c r="DD126" s="47">
        <f>IF(C126="","",COUNTIF(AV126:BL126,"Yes"))</f>
        <v/>
      </c>
      <c r="DE126" s="47">
        <f>IF(C126="","",COUNTIF(CV126:CZ126,"Yes"))</f>
        <v/>
      </c>
    </row>
    <row r="127">
      <c r="B127" s="46" t="n"/>
      <c r="G127" s="46" t="n"/>
      <c r="AE127" s="46" t="n"/>
      <c r="AH127" s="46" t="n"/>
      <c r="DB127" s="47">
        <f>IF(C127="","",COUNTA(AI127,AL127,AO127,AR127))</f>
        <v/>
      </c>
      <c r="DC127" s="47">
        <f>IF(C127="","",COUNTA(BM127,BO127,BQ127,BS127,BU127,BW127,BY127,CA127))</f>
        <v/>
      </c>
      <c r="DD127" s="47">
        <f>IF(C127="","",COUNTIF(AV127:BL127,"Yes"))</f>
        <v/>
      </c>
      <c r="DE127" s="47">
        <f>IF(C127="","",COUNTIF(CV127:CZ127,"Yes"))</f>
        <v/>
      </c>
    </row>
    <row r="128">
      <c r="B128" s="46" t="n"/>
      <c r="G128" s="46" t="n"/>
      <c r="AE128" s="46" t="n"/>
      <c r="AH128" s="46" t="n"/>
      <c r="DB128" s="47">
        <f>IF(C128="","",COUNTA(AI128,AL128,AO128,AR128))</f>
        <v/>
      </c>
      <c r="DC128" s="47">
        <f>IF(C128="","",COUNTA(BM128,BO128,BQ128,BS128,BU128,BW128,BY128,CA128))</f>
        <v/>
      </c>
      <c r="DD128" s="47">
        <f>IF(C128="","",COUNTIF(AV128:BL128,"Yes"))</f>
        <v/>
      </c>
      <c r="DE128" s="47">
        <f>IF(C128="","",COUNTIF(CV128:CZ128,"Yes"))</f>
        <v/>
      </c>
    </row>
    <row r="129">
      <c r="B129" s="46" t="n"/>
      <c r="G129" s="46" t="n"/>
      <c r="AE129" s="46" t="n"/>
      <c r="AH129" s="46" t="n"/>
      <c r="DB129" s="47">
        <f>IF(C129="","",COUNTA(AI129,AL129,AO129,AR129))</f>
        <v/>
      </c>
      <c r="DC129" s="47">
        <f>IF(C129="","",COUNTA(BM129,BO129,BQ129,BS129,BU129,BW129,BY129,CA129))</f>
        <v/>
      </c>
      <c r="DD129" s="47">
        <f>IF(C129="","",COUNTIF(AV129:BL129,"Yes"))</f>
        <v/>
      </c>
      <c r="DE129" s="47">
        <f>IF(C129="","",COUNTIF(CV129:CZ129,"Yes"))</f>
        <v/>
      </c>
    </row>
    <row r="130">
      <c r="B130" s="46" t="n"/>
      <c r="G130" s="46" t="n"/>
      <c r="AE130" s="46" t="n"/>
      <c r="AH130" s="46" t="n"/>
      <c r="DB130" s="47">
        <f>IF(C130="","",COUNTA(AI130,AL130,AO130,AR130))</f>
        <v/>
      </c>
      <c r="DC130" s="47">
        <f>IF(C130="","",COUNTA(BM130,BO130,BQ130,BS130,BU130,BW130,BY130,CA130))</f>
        <v/>
      </c>
      <c r="DD130" s="47">
        <f>IF(C130="","",COUNTIF(AV130:BL130,"Yes"))</f>
        <v/>
      </c>
      <c r="DE130" s="47">
        <f>IF(C130="","",COUNTIF(CV130:CZ130,"Yes"))</f>
        <v/>
      </c>
    </row>
    <row r="131">
      <c r="B131" s="46" t="n"/>
      <c r="G131" s="46" t="n"/>
      <c r="AE131" s="46" t="n"/>
      <c r="AH131" s="46" t="n"/>
      <c r="DB131" s="47">
        <f>IF(C131="","",COUNTA(AI131,AL131,AO131,AR131))</f>
        <v/>
      </c>
      <c r="DC131" s="47">
        <f>IF(C131="","",COUNTA(BM131,BO131,BQ131,BS131,BU131,BW131,BY131,CA131))</f>
        <v/>
      </c>
      <c r="DD131" s="47">
        <f>IF(C131="","",COUNTIF(AV131:BL131,"Yes"))</f>
        <v/>
      </c>
      <c r="DE131" s="47">
        <f>IF(C131="","",COUNTIF(CV131:CZ131,"Yes"))</f>
        <v/>
      </c>
    </row>
    <row r="132">
      <c r="B132" s="46" t="n"/>
      <c r="G132" s="46" t="n"/>
      <c r="AE132" s="46" t="n"/>
      <c r="AH132" s="46" t="n"/>
      <c r="DB132" s="47">
        <f>IF(C132="","",COUNTA(AI132,AL132,AO132,AR132))</f>
        <v/>
      </c>
      <c r="DC132" s="47">
        <f>IF(C132="","",COUNTA(BM132,BO132,BQ132,BS132,BU132,BW132,BY132,CA132))</f>
        <v/>
      </c>
      <c r="DD132" s="47">
        <f>IF(C132="","",COUNTIF(AV132:BL132,"Yes"))</f>
        <v/>
      </c>
      <c r="DE132" s="47">
        <f>IF(C132="","",COUNTIF(CV132:CZ132,"Yes"))</f>
        <v/>
      </c>
    </row>
    <row r="133">
      <c r="B133" s="46" t="n"/>
      <c r="G133" s="46" t="n"/>
      <c r="AE133" s="46" t="n"/>
      <c r="AH133" s="46" t="n"/>
      <c r="DB133" s="47">
        <f>IF(C133="","",COUNTA(AI133,AL133,AO133,AR133))</f>
        <v/>
      </c>
      <c r="DC133" s="47">
        <f>IF(C133="","",COUNTA(BM133,BO133,BQ133,BS133,BU133,BW133,BY133,CA133))</f>
        <v/>
      </c>
      <c r="DD133" s="47">
        <f>IF(C133="","",COUNTIF(AV133:BL133,"Yes"))</f>
        <v/>
      </c>
      <c r="DE133" s="47">
        <f>IF(C133="","",COUNTIF(CV133:CZ133,"Yes"))</f>
        <v/>
      </c>
    </row>
    <row r="134">
      <c r="B134" s="46" t="n"/>
      <c r="G134" s="46" t="n"/>
      <c r="AE134" s="46" t="n"/>
      <c r="AH134" s="46" t="n"/>
      <c r="DB134" s="47">
        <f>IF(C134="","",COUNTA(AI134,AL134,AO134,AR134))</f>
        <v/>
      </c>
      <c r="DC134" s="47">
        <f>IF(C134="","",COUNTA(BM134,BO134,BQ134,BS134,BU134,BW134,BY134,CA134))</f>
        <v/>
      </c>
      <c r="DD134" s="47">
        <f>IF(C134="","",COUNTIF(AV134:BL134,"Yes"))</f>
        <v/>
      </c>
      <c r="DE134" s="47">
        <f>IF(C134="","",COUNTIF(CV134:CZ134,"Yes"))</f>
        <v/>
      </c>
    </row>
    <row r="135">
      <c r="B135" s="46" t="n"/>
      <c r="G135" s="46" t="n"/>
      <c r="AE135" s="46" t="n"/>
      <c r="AH135" s="46" t="n"/>
      <c r="DB135" s="47">
        <f>IF(C135="","",COUNTA(AI135,AL135,AO135,AR135))</f>
        <v/>
      </c>
      <c r="DC135" s="47">
        <f>IF(C135="","",COUNTA(BM135,BO135,BQ135,BS135,BU135,BW135,BY135,CA135))</f>
        <v/>
      </c>
      <c r="DD135" s="47">
        <f>IF(C135="","",COUNTIF(AV135:BL135,"Yes"))</f>
        <v/>
      </c>
      <c r="DE135" s="47">
        <f>IF(C135="","",COUNTIF(CV135:CZ135,"Yes"))</f>
        <v/>
      </c>
    </row>
    <row r="136">
      <c r="B136" s="46" t="n"/>
      <c r="G136" s="46" t="n"/>
      <c r="AE136" s="46" t="n"/>
      <c r="AH136" s="46" t="n"/>
      <c r="DB136" s="47">
        <f>IF(C136="","",COUNTA(AI136,AL136,AO136,AR136))</f>
        <v/>
      </c>
      <c r="DC136" s="47">
        <f>IF(C136="","",COUNTA(BM136,BO136,BQ136,BS136,BU136,BW136,BY136,CA136))</f>
        <v/>
      </c>
      <c r="DD136" s="47">
        <f>IF(C136="","",COUNTIF(AV136:BL136,"Yes"))</f>
        <v/>
      </c>
      <c r="DE136" s="47">
        <f>IF(C136="","",COUNTIF(CV136:CZ136,"Yes"))</f>
        <v/>
      </c>
    </row>
    <row r="137">
      <c r="B137" s="46" t="n"/>
      <c r="G137" s="46" t="n"/>
      <c r="AE137" s="46" t="n"/>
      <c r="AH137" s="46" t="n"/>
      <c r="DB137" s="47">
        <f>IF(C137="","",COUNTA(AI137,AL137,AO137,AR137))</f>
        <v/>
      </c>
      <c r="DC137" s="47">
        <f>IF(C137="","",COUNTA(BM137,BO137,BQ137,BS137,BU137,BW137,BY137,CA137))</f>
        <v/>
      </c>
      <c r="DD137" s="47">
        <f>IF(C137="","",COUNTIF(AV137:BL137,"Yes"))</f>
        <v/>
      </c>
      <c r="DE137" s="47">
        <f>IF(C137="","",COUNTIF(CV137:CZ137,"Yes"))</f>
        <v/>
      </c>
    </row>
    <row r="138">
      <c r="B138" s="46" t="n"/>
      <c r="G138" s="46" t="n"/>
      <c r="AE138" s="46" t="n"/>
      <c r="AH138" s="46" t="n"/>
      <c r="DB138" s="47">
        <f>IF(C138="","",COUNTA(AI138,AL138,AO138,AR138))</f>
        <v/>
      </c>
      <c r="DC138" s="47">
        <f>IF(C138="","",COUNTA(BM138,BO138,BQ138,BS138,BU138,BW138,BY138,CA138))</f>
        <v/>
      </c>
      <c r="DD138" s="47">
        <f>IF(C138="","",COUNTIF(AV138:BL138,"Yes"))</f>
        <v/>
      </c>
      <c r="DE138" s="47">
        <f>IF(C138="","",COUNTIF(CV138:CZ138,"Yes"))</f>
        <v/>
      </c>
    </row>
    <row r="139">
      <c r="B139" s="46" t="n"/>
      <c r="G139" s="46" t="n"/>
      <c r="AE139" s="46" t="n"/>
      <c r="AH139" s="46" t="n"/>
      <c r="DB139" s="47">
        <f>IF(C139="","",COUNTA(AI139,AL139,AO139,AR139))</f>
        <v/>
      </c>
      <c r="DC139" s="47">
        <f>IF(C139="","",COUNTA(BM139,BO139,BQ139,BS139,BU139,BW139,BY139,CA139))</f>
        <v/>
      </c>
      <c r="DD139" s="47">
        <f>IF(C139="","",COUNTIF(AV139:BL139,"Yes"))</f>
        <v/>
      </c>
      <c r="DE139" s="47">
        <f>IF(C139="","",COUNTIF(CV139:CZ139,"Yes"))</f>
        <v/>
      </c>
    </row>
    <row r="140">
      <c r="B140" s="46" t="n"/>
      <c r="G140" s="46" t="n"/>
      <c r="AE140" s="46" t="n"/>
      <c r="AH140" s="46" t="n"/>
      <c r="DB140" s="47">
        <f>IF(C140="","",COUNTA(AI140,AL140,AO140,AR140))</f>
        <v/>
      </c>
      <c r="DC140" s="47">
        <f>IF(C140="","",COUNTA(BM140,BO140,BQ140,BS140,BU140,BW140,BY140,CA140))</f>
        <v/>
      </c>
      <c r="DD140" s="47">
        <f>IF(C140="","",COUNTIF(AV140:BL140,"Yes"))</f>
        <v/>
      </c>
      <c r="DE140" s="47">
        <f>IF(C140="","",COUNTIF(CV140:CZ140,"Yes"))</f>
        <v/>
      </c>
    </row>
    <row r="141">
      <c r="B141" s="46" t="n"/>
      <c r="G141" s="46" t="n"/>
      <c r="AE141" s="46" t="n"/>
      <c r="AH141" s="46" t="n"/>
      <c r="DB141" s="47">
        <f>IF(C141="","",COUNTA(AI141,AL141,AO141,AR141))</f>
        <v/>
      </c>
      <c r="DC141" s="47">
        <f>IF(C141="","",COUNTA(BM141,BO141,BQ141,BS141,BU141,BW141,BY141,CA141))</f>
        <v/>
      </c>
      <c r="DD141" s="47">
        <f>IF(C141="","",COUNTIF(AV141:BL141,"Yes"))</f>
        <v/>
      </c>
      <c r="DE141" s="47">
        <f>IF(C141="","",COUNTIF(CV141:CZ141,"Yes"))</f>
        <v/>
      </c>
    </row>
    <row r="142">
      <c r="B142" s="46" t="n"/>
      <c r="G142" s="46" t="n"/>
      <c r="AE142" s="46" t="n"/>
      <c r="AH142" s="46" t="n"/>
      <c r="DB142" s="47">
        <f>IF(C142="","",COUNTA(AI142,AL142,AO142,AR142))</f>
        <v/>
      </c>
      <c r="DC142" s="47">
        <f>IF(C142="","",COUNTA(BM142,BO142,BQ142,BS142,BU142,BW142,BY142,CA142))</f>
        <v/>
      </c>
      <c r="DD142" s="47">
        <f>IF(C142="","",COUNTIF(AV142:BL142,"Yes"))</f>
        <v/>
      </c>
      <c r="DE142" s="47">
        <f>IF(C142="","",COUNTIF(CV142:CZ142,"Yes"))</f>
        <v/>
      </c>
    </row>
    <row r="143">
      <c r="B143" s="46" t="n"/>
      <c r="G143" s="46" t="n"/>
      <c r="AE143" s="46" t="n"/>
      <c r="AH143" s="46" t="n"/>
      <c r="DB143" s="47">
        <f>IF(C143="","",COUNTA(AI143,AL143,AO143,AR143))</f>
        <v/>
      </c>
      <c r="DC143" s="47">
        <f>IF(C143="","",COUNTA(BM143,BO143,BQ143,BS143,BU143,BW143,BY143,CA143))</f>
        <v/>
      </c>
      <c r="DD143" s="47">
        <f>IF(C143="","",COUNTIF(AV143:BL143,"Yes"))</f>
        <v/>
      </c>
      <c r="DE143" s="47">
        <f>IF(C143="","",COUNTIF(CV143:CZ143,"Yes"))</f>
        <v/>
      </c>
    </row>
    <row r="144">
      <c r="B144" s="46" t="n"/>
      <c r="G144" s="46" t="n"/>
      <c r="AE144" s="46" t="n"/>
      <c r="AH144" s="46" t="n"/>
      <c r="DB144" s="47">
        <f>IF(C144="","",COUNTA(AI144,AL144,AO144,AR144))</f>
        <v/>
      </c>
      <c r="DC144" s="47">
        <f>IF(C144="","",COUNTA(BM144,BO144,BQ144,BS144,BU144,BW144,BY144,CA144))</f>
        <v/>
      </c>
      <c r="DD144" s="47">
        <f>IF(C144="","",COUNTIF(AV144:BL144,"Yes"))</f>
        <v/>
      </c>
      <c r="DE144" s="47">
        <f>IF(C144="","",COUNTIF(CV144:CZ144,"Yes"))</f>
        <v/>
      </c>
    </row>
    <row r="145">
      <c r="B145" s="46" t="n"/>
      <c r="G145" s="46" t="n"/>
      <c r="AE145" s="46" t="n"/>
      <c r="AH145" s="46" t="n"/>
      <c r="DB145" s="47">
        <f>IF(C145="","",COUNTA(AI145,AL145,AO145,AR145))</f>
        <v/>
      </c>
      <c r="DC145" s="47">
        <f>IF(C145="","",COUNTA(BM145,BO145,BQ145,BS145,BU145,BW145,BY145,CA145))</f>
        <v/>
      </c>
      <c r="DD145" s="47">
        <f>IF(C145="","",COUNTIF(AV145:BL145,"Yes"))</f>
        <v/>
      </c>
      <c r="DE145" s="47">
        <f>IF(C145="","",COUNTIF(CV145:CZ145,"Yes"))</f>
        <v/>
      </c>
    </row>
    <row r="146">
      <c r="B146" s="46" t="n"/>
      <c r="G146" s="46" t="n"/>
      <c r="AE146" s="46" t="n"/>
      <c r="AH146" s="46" t="n"/>
      <c r="DB146" s="47">
        <f>IF(C146="","",COUNTA(AI146,AL146,AO146,AR146))</f>
        <v/>
      </c>
      <c r="DC146" s="47">
        <f>IF(C146="","",COUNTA(BM146,BO146,BQ146,BS146,BU146,BW146,BY146,CA146))</f>
        <v/>
      </c>
      <c r="DD146" s="47">
        <f>IF(C146="","",COUNTIF(AV146:BL146,"Yes"))</f>
        <v/>
      </c>
      <c r="DE146" s="47">
        <f>IF(C146="","",COUNTIF(CV146:CZ146,"Yes"))</f>
        <v/>
      </c>
    </row>
    <row r="147">
      <c r="B147" s="46" t="n"/>
      <c r="G147" s="46" t="n"/>
      <c r="AE147" s="46" t="n"/>
      <c r="AH147" s="46" t="n"/>
      <c r="DB147" s="47">
        <f>IF(C147="","",COUNTA(AI147,AL147,AO147,AR147))</f>
        <v/>
      </c>
      <c r="DC147" s="47">
        <f>IF(C147="","",COUNTA(BM147,BO147,BQ147,BS147,BU147,BW147,BY147,CA147))</f>
        <v/>
      </c>
      <c r="DD147" s="47">
        <f>IF(C147="","",COUNTIF(AV147:BL147,"Yes"))</f>
        <v/>
      </c>
      <c r="DE147" s="47">
        <f>IF(C147="","",COUNTIF(CV147:CZ147,"Yes"))</f>
        <v/>
      </c>
    </row>
    <row r="148">
      <c r="B148" s="46" t="n"/>
      <c r="G148" s="46" t="n"/>
      <c r="AE148" s="46" t="n"/>
      <c r="AH148" s="46" t="n"/>
      <c r="DB148" s="47">
        <f>IF(C148="","",COUNTA(AI148,AL148,AO148,AR148))</f>
        <v/>
      </c>
      <c r="DC148" s="47">
        <f>IF(C148="","",COUNTA(BM148,BO148,BQ148,BS148,BU148,BW148,BY148,CA148))</f>
        <v/>
      </c>
      <c r="DD148" s="47">
        <f>IF(C148="","",COUNTIF(AV148:BL148,"Yes"))</f>
        <v/>
      </c>
      <c r="DE148" s="47">
        <f>IF(C148="","",COUNTIF(CV148:CZ148,"Yes"))</f>
        <v/>
      </c>
    </row>
    <row r="149">
      <c r="B149" s="46" t="n"/>
      <c r="G149" s="46" t="n"/>
      <c r="AE149" s="46" t="n"/>
      <c r="AH149" s="46" t="n"/>
      <c r="DB149" s="47">
        <f>IF(C149="","",COUNTA(AI149,AL149,AO149,AR149))</f>
        <v/>
      </c>
      <c r="DC149" s="47">
        <f>IF(C149="","",COUNTA(BM149,BO149,BQ149,BS149,BU149,BW149,BY149,CA149))</f>
        <v/>
      </c>
      <c r="DD149" s="47">
        <f>IF(C149="","",COUNTIF(AV149:BL149,"Yes"))</f>
        <v/>
      </c>
      <c r="DE149" s="47">
        <f>IF(C149="","",COUNTIF(CV149:CZ149,"Yes"))</f>
        <v/>
      </c>
    </row>
    <row r="150">
      <c r="B150" s="46" t="n"/>
      <c r="G150" s="46" t="n"/>
      <c r="AE150" s="46" t="n"/>
      <c r="AH150" s="46" t="n"/>
      <c r="DB150" s="47">
        <f>IF(C150="","",COUNTA(AI150,AL150,AO150,AR150))</f>
        <v/>
      </c>
      <c r="DC150" s="47">
        <f>IF(C150="","",COUNTA(BM150,BO150,BQ150,BS150,BU150,BW150,BY150,CA150))</f>
        <v/>
      </c>
      <c r="DD150" s="47">
        <f>IF(C150="","",COUNTIF(AV150:BL150,"Yes"))</f>
        <v/>
      </c>
      <c r="DE150" s="47">
        <f>IF(C150="","",COUNTIF(CV150:CZ150,"Yes"))</f>
        <v/>
      </c>
    </row>
    <row r="151">
      <c r="B151" s="46" t="n"/>
      <c r="G151" s="46" t="n"/>
      <c r="AE151" s="46" t="n"/>
      <c r="AH151" s="46" t="n"/>
      <c r="DB151" s="47">
        <f>IF(C151="","",COUNTA(AI151,AL151,AO151,AR151))</f>
        <v/>
      </c>
      <c r="DC151" s="47">
        <f>IF(C151="","",COUNTA(BM151,BO151,BQ151,BS151,BU151,BW151,BY151,CA151))</f>
        <v/>
      </c>
      <c r="DD151" s="47">
        <f>IF(C151="","",COUNTIF(AV151:BL151,"Yes"))</f>
        <v/>
      </c>
      <c r="DE151" s="47">
        <f>IF(C151="","",COUNTIF(CV151:CZ151,"Yes"))</f>
        <v/>
      </c>
    </row>
    <row r="152">
      <c r="B152" s="46" t="n"/>
      <c r="G152" s="46" t="n"/>
      <c r="AE152" s="46" t="n"/>
      <c r="AH152" s="46" t="n"/>
      <c r="DB152" s="47">
        <f>IF(C152="","",COUNTA(AI152,AL152,AO152,AR152))</f>
        <v/>
      </c>
      <c r="DC152" s="47">
        <f>IF(C152="","",COUNTA(BM152,BO152,BQ152,BS152,BU152,BW152,BY152,CA152))</f>
        <v/>
      </c>
      <c r="DD152" s="47">
        <f>IF(C152="","",COUNTIF(AV152:BL152,"Yes"))</f>
        <v/>
      </c>
      <c r="DE152" s="47">
        <f>IF(C152="","",COUNTIF(CV152:CZ152,"Yes"))</f>
        <v/>
      </c>
    </row>
    <row r="153">
      <c r="B153" s="46" t="n"/>
      <c r="G153" s="46" t="n"/>
      <c r="AE153" s="46" t="n"/>
      <c r="AH153" s="46" t="n"/>
      <c r="DB153" s="47">
        <f>IF(C153="","",COUNTA(AI153,AL153,AO153,AR153))</f>
        <v/>
      </c>
      <c r="DC153" s="47">
        <f>IF(C153="","",COUNTA(BM153,BO153,BQ153,BS153,BU153,BW153,BY153,CA153))</f>
        <v/>
      </c>
      <c r="DD153" s="47">
        <f>IF(C153="","",COUNTIF(AV153:BL153,"Yes"))</f>
        <v/>
      </c>
      <c r="DE153" s="47">
        <f>IF(C153="","",COUNTIF(CV153:CZ153,"Yes"))</f>
        <v/>
      </c>
    </row>
    <row r="154">
      <c r="B154" s="46" t="n"/>
      <c r="G154" s="46" t="n"/>
      <c r="AE154" s="46" t="n"/>
      <c r="AH154" s="46" t="n"/>
      <c r="DB154" s="47">
        <f>IF(C154="","",COUNTA(AI154,AL154,AO154,AR154))</f>
        <v/>
      </c>
      <c r="DC154" s="47">
        <f>IF(C154="","",COUNTA(BM154,BO154,BQ154,BS154,BU154,BW154,BY154,CA154))</f>
        <v/>
      </c>
      <c r="DD154" s="47">
        <f>IF(C154="","",COUNTIF(AV154:BL154,"Yes"))</f>
        <v/>
      </c>
      <c r="DE154" s="47">
        <f>IF(C154="","",COUNTIF(CV154:CZ154,"Yes"))</f>
        <v/>
      </c>
    </row>
    <row r="155">
      <c r="B155" s="46" t="n"/>
      <c r="G155" s="46" t="n"/>
      <c r="AE155" s="46" t="n"/>
      <c r="AH155" s="46" t="n"/>
      <c r="DB155" s="47">
        <f>IF(C155="","",COUNTA(AI155,AL155,AO155,AR155))</f>
        <v/>
      </c>
      <c r="DC155" s="47">
        <f>IF(C155="","",COUNTA(BM155,BO155,BQ155,BS155,BU155,BW155,BY155,CA155))</f>
        <v/>
      </c>
      <c r="DD155" s="47">
        <f>IF(C155="","",COUNTIF(AV155:BL155,"Yes"))</f>
        <v/>
      </c>
      <c r="DE155" s="47">
        <f>IF(C155="","",COUNTIF(CV155:CZ155,"Yes"))</f>
        <v/>
      </c>
    </row>
    <row r="156">
      <c r="B156" s="46" t="n"/>
      <c r="G156" s="46" t="n"/>
      <c r="AE156" s="46" t="n"/>
      <c r="AH156" s="46" t="n"/>
      <c r="DB156" s="47">
        <f>IF(C156="","",COUNTA(AI156,AL156,AO156,AR156))</f>
        <v/>
      </c>
      <c r="DC156" s="47">
        <f>IF(C156="","",COUNTA(BM156,BO156,BQ156,BS156,BU156,BW156,BY156,CA156))</f>
        <v/>
      </c>
      <c r="DD156" s="47">
        <f>IF(C156="","",COUNTIF(AV156:BL156,"Yes"))</f>
        <v/>
      </c>
      <c r="DE156" s="47">
        <f>IF(C156="","",COUNTIF(CV156:CZ156,"Yes"))</f>
        <v/>
      </c>
    </row>
    <row r="157">
      <c r="B157" s="46" t="n"/>
      <c r="G157" s="46" t="n"/>
      <c r="AE157" s="46" t="n"/>
      <c r="AH157" s="46" t="n"/>
      <c r="DB157" s="47">
        <f>IF(C157="","",COUNTA(AI157,AL157,AO157,AR157))</f>
        <v/>
      </c>
      <c r="DC157" s="47">
        <f>IF(C157="","",COUNTA(BM157,BO157,BQ157,BS157,BU157,BW157,BY157,CA157))</f>
        <v/>
      </c>
      <c r="DD157" s="47">
        <f>IF(C157="","",COUNTIF(AV157:BL157,"Yes"))</f>
        <v/>
      </c>
      <c r="DE157" s="47">
        <f>IF(C157="","",COUNTIF(CV157:CZ157,"Yes"))</f>
        <v/>
      </c>
    </row>
    <row r="158">
      <c r="B158" s="46" t="n"/>
      <c r="G158" s="46" t="n"/>
      <c r="AE158" s="46" t="n"/>
      <c r="AH158" s="46" t="n"/>
      <c r="DB158" s="47">
        <f>IF(C158="","",COUNTA(AI158,AL158,AO158,AR158))</f>
        <v/>
      </c>
      <c r="DC158" s="47">
        <f>IF(C158="","",COUNTA(BM158,BO158,BQ158,BS158,BU158,BW158,BY158,CA158))</f>
        <v/>
      </c>
      <c r="DD158" s="47">
        <f>IF(C158="","",COUNTIF(AV158:BL158,"Yes"))</f>
        <v/>
      </c>
      <c r="DE158" s="47">
        <f>IF(C158="","",COUNTIF(CV158:CZ158,"Yes"))</f>
        <v/>
      </c>
    </row>
    <row r="159">
      <c r="B159" s="46" t="n"/>
      <c r="G159" s="46" t="n"/>
      <c r="AE159" s="46" t="n"/>
      <c r="AH159" s="46" t="n"/>
      <c r="DB159" s="47">
        <f>IF(C159="","",COUNTA(AI159,AL159,AO159,AR159))</f>
        <v/>
      </c>
      <c r="DC159" s="47">
        <f>IF(C159="","",COUNTA(BM159,BO159,BQ159,BS159,BU159,BW159,BY159,CA159))</f>
        <v/>
      </c>
      <c r="DD159" s="47">
        <f>IF(C159="","",COUNTIF(AV159:BL159,"Yes"))</f>
        <v/>
      </c>
      <c r="DE159" s="47">
        <f>IF(C159="","",COUNTIF(CV159:CZ159,"Yes"))</f>
        <v/>
      </c>
    </row>
    <row r="160">
      <c r="B160" s="46" t="n"/>
      <c r="G160" s="46" t="n"/>
      <c r="AE160" s="46" t="n"/>
      <c r="AH160" s="46" t="n"/>
      <c r="DB160" s="47">
        <f>IF(C160="","",COUNTA(AI160,AL160,AO160,AR160))</f>
        <v/>
      </c>
      <c r="DC160" s="47">
        <f>IF(C160="","",COUNTA(BM160,BO160,BQ160,BS160,BU160,BW160,BY160,CA160))</f>
        <v/>
      </c>
      <c r="DD160" s="47">
        <f>IF(C160="","",COUNTIF(AV160:BL160,"Yes"))</f>
        <v/>
      </c>
      <c r="DE160" s="47">
        <f>IF(C160="","",COUNTIF(CV160:CZ160,"Yes"))</f>
        <v/>
      </c>
    </row>
    <row r="161">
      <c r="B161" s="46" t="n"/>
      <c r="G161" s="46" t="n"/>
      <c r="AE161" s="46" t="n"/>
      <c r="AH161" s="46" t="n"/>
      <c r="DB161" s="47">
        <f>IF(C161="","",COUNTA(AI161,AL161,AO161,AR161))</f>
        <v/>
      </c>
      <c r="DC161" s="47">
        <f>IF(C161="","",COUNTA(BM161,BO161,BQ161,BS161,BU161,BW161,BY161,CA161))</f>
        <v/>
      </c>
      <c r="DD161" s="47">
        <f>IF(C161="","",COUNTIF(AV161:BL161,"Yes"))</f>
        <v/>
      </c>
      <c r="DE161" s="47">
        <f>IF(C161="","",COUNTIF(CV161:CZ161,"Yes"))</f>
        <v/>
      </c>
    </row>
    <row r="162">
      <c r="B162" s="46" t="n"/>
      <c r="G162" s="46" t="n"/>
      <c r="AE162" s="46" t="n"/>
      <c r="AH162" s="46" t="n"/>
      <c r="DB162" s="47">
        <f>IF(C162="","",COUNTA(AI162,AL162,AO162,AR162))</f>
        <v/>
      </c>
      <c r="DC162" s="47">
        <f>IF(C162="","",COUNTA(BM162,BO162,BQ162,BS162,BU162,BW162,BY162,CA162))</f>
        <v/>
      </c>
      <c r="DD162" s="47">
        <f>IF(C162="","",COUNTIF(AV162:BL162,"Yes"))</f>
        <v/>
      </c>
      <c r="DE162" s="47">
        <f>IF(C162="","",COUNTIF(CV162:CZ162,"Yes"))</f>
        <v/>
      </c>
    </row>
    <row r="163">
      <c r="B163" s="46" t="n"/>
      <c r="G163" s="46" t="n"/>
      <c r="AE163" s="46" t="n"/>
      <c r="AH163" s="46" t="n"/>
      <c r="DB163" s="47">
        <f>IF(C163="","",COUNTA(AI163,AL163,AO163,AR163))</f>
        <v/>
      </c>
      <c r="DC163" s="47">
        <f>IF(C163="","",COUNTA(BM163,BO163,BQ163,BS163,BU163,BW163,BY163,CA163))</f>
        <v/>
      </c>
      <c r="DD163" s="47">
        <f>IF(C163="","",COUNTIF(AV163:BL163,"Yes"))</f>
        <v/>
      </c>
      <c r="DE163" s="47">
        <f>IF(C163="","",COUNTIF(CV163:CZ163,"Yes"))</f>
        <v/>
      </c>
    </row>
    <row r="164">
      <c r="B164" s="46" t="n"/>
      <c r="G164" s="46" t="n"/>
      <c r="AE164" s="46" t="n"/>
      <c r="AH164" s="46" t="n"/>
      <c r="DB164" s="47">
        <f>IF(C164="","",COUNTA(AI164,AL164,AO164,AR164))</f>
        <v/>
      </c>
      <c r="DC164" s="47">
        <f>IF(C164="","",COUNTA(BM164,BO164,BQ164,BS164,BU164,BW164,BY164,CA164))</f>
        <v/>
      </c>
      <c r="DD164" s="47">
        <f>IF(C164="","",COUNTIF(AV164:BL164,"Yes"))</f>
        <v/>
      </c>
      <c r="DE164" s="47">
        <f>IF(C164="","",COUNTIF(CV164:CZ164,"Yes"))</f>
        <v/>
      </c>
    </row>
    <row r="165">
      <c r="B165" s="46" t="n"/>
      <c r="G165" s="46" t="n"/>
      <c r="AE165" s="46" t="n"/>
      <c r="AH165" s="46" t="n"/>
      <c r="DB165" s="47">
        <f>IF(C165="","",COUNTA(AI165,AL165,AO165,AR165))</f>
        <v/>
      </c>
      <c r="DC165" s="47">
        <f>IF(C165="","",COUNTA(BM165,BO165,BQ165,BS165,BU165,BW165,BY165,CA165))</f>
        <v/>
      </c>
      <c r="DD165" s="47">
        <f>IF(C165="","",COUNTIF(AV165:BL165,"Yes"))</f>
        <v/>
      </c>
      <c r="DE165" s="47">
        <f>IF(C165="","",COUNTIF(CV165:CZ165,"Yes"))</f>
        <v/>
      </c>
    </row>
    <row r="166">
      <c r="B166" s="46" t="n"/>
      <c r="G166" s="46" t="n"/>
      <c r="AE166" s="46" t="n"/>
      <c r="AH166" s="46" t="n"/>
      <c r="DB166" s="47">
        <f>IF(C166="","",COUNTA(AI166,AL166,AO166,AR166))</f>
        <v/>
      </c>
      <c r="DC166" s="47">
        <f>IF(C166="","",COUNTA(BM166,BO166,BQ166,BS166,BU166,BW166,BY166,CA166))</f>
        <v/>
      </c>
      <c r="DD166" s="47">
        <f>IF(C166="","",COUNTIF(AV166:BL166,"Yes"))</f>
        <v/>
      </c>
      <c r="DE166" s="47">
        <f>IF(C166="","",COUNTIF(CV166:CZ166,"Yes"))</f>
        <v/>
      </c>
    </row>
    <row r="167">
      <c r="B167" s="46" t="n"/>
      <c r="G167" s="46" t="n"/>
      <c r="AE167" s="46" t="n"/>
      <c r="AH167" s="46" t="n"/>
      <c r="DB167" s="47">
        <f>IF(C167="","",COUNTA(AI167,AL167,AO167,AR167))</f>
        <v/>
      </c>
      <c r="DC167" s="47">
        <f>IF(C167="","",COUNTA(BM167,BO167,BQ167,BS167,BU167,BW167,BY167,CA167))</f>
        <v/>
      </c>
      <c r="DD167" s="47">
        <f>IF(C167="","",COUNTIF(AV167:BL167,"Yes"))</f>
        <v/>
      </c>
      <c r="DE167" s="47">
        <f>IF(C167="","",COUNTIF(CV167:CZ167,"Yes"))</f>
        <v/>
      </c>
    </row>
    <row r="168">
      <c r="B168" s="46" t="n"/>
      <c r="G168" s="46" t="n"/>
      <c r="AE168" s="46" t="n"/>
      <c r="AH168" s="46" t="n"/>
      <c r="DB168" s="47">
        <f>IF(C168="","",COUNTA(AI168,AL168,AO168,AR168))</f>
        <v/>
      </c>
      <c r="DC168" s="47">
        <f>IF(C168="","",COUNTA(BM168,BO168,BQ168,BS168,BU168,BW168,BY168,CA168))</f>
        <v/>
      </c>
      <c r="DD168" s="47">
        <f>IF(C168="","",COUNTIF(AV168:BL168,"Yes"))</f>
        <v/>
      </c>
      <c r="DE168" s="47">
        <f>IF(C168="","",COUNTIF(CV168:CZ168,"Yes"))</f>
        <v/>
      </c>
    </row>
    <row r="169">
      <c r="B169" s="46" t="n"/>
      <c r="G169" s="46" t="n"/>
      <c r="AE169" s="46" t="n"/>
      <c r="AH169" s="46" t="n"/>
      <c r="DB169" s="47">
        <f>IF(C169="","",COUNTA(AI169,AL169,AO169,AR169))</f>
        <v/>
      </c>
      <c r="DC169" s="47">
        <f>IF(C169="","",COUNTA(BM169,BO169,BQ169,BS169,BU169,BW169,BY169,CA169))</f>
        <v/>
      </c>
      <c r="DD169" s="47">
        <f>IF(C169="","",COUNTIF(AV169:BL169,"Yes"))</f>
        <v/>
      </c>
      <c r="DE169" s="47">
        <f>IF(C169="","",COUNTIF(CV169:CZ169,"Yes"))</f>
        <v/>
      </c>
    </row>
    <row r="170">
      <c r="B170" s="46" t="n"/>
      <c r="G170" s="46" t="n"/>
      <c r="AE170" s="46" t="n"/>
      <c r="AH170" s="46" t="n"/>
      <c r="DB170" s="47">
        <f>IF(C170="","",COUNTA(AI170,AL170,AO170,AR170))</f>
        <v/>
      </c>
      <c r="DC170" s="47">
        <f>IF(C170="","",COUNTA(BM170,BO170,BQ170,BS170,BU170,BW170,BY170,CA170))</f>
        <v/>
      </c>
      <c r="DD170" s="47">
        <f>IF(C170="","",COUNTIF(AV170:BL170,"Yes"))</f>
        <v/>
      </c>
      <c r="DE170" s="47">
        <f>IF(C170="","",COUNTIF(CV170:CZ170,"Yes"))</f>
        <v/>
      </c>
    </row>
    <row r="171">
      <c r="B171" s="46" t="n"/>
      <c r="G171" s="46" t="n"/>
      <c r="AE171" s="46" t="n"/>
      <c r="AH171" s="46" t="n"/>
      <c r="DB171" s="47">
        <f>IF(C171="","",COUNTA(AI171,AL171,AO171,AR171))</f>
        <v/>
      </c>
      <c r="DC171" s="47">
        <f>IF(C171="","",COUNTA(BM171,BO171,BQ171,BS171,BU171,BW171,BY171,CA171))</f>
        <v/>
      </c>
      <c r="DD171" s="47">
        <f>IF(C171="","",COUNTIF(AV171:BL171,"Yes"))</f>
        <v/>
      </c>
      <c r="DE171" s="47">
        <f>IF(C171="","",COUNTIF(CV171:CZ171,"Yes"))</f>
        <v/>
      </c>
    </row>
    <row r="172">
      <c r="B172" s="46" t="n"/>
      <c r="G172" s="46" t="n"/>
      <c r="AE172" s="46" t="n"/>
      <c r="AH172" s="46" t="n"/>
      <c r="DB172" s="47">
        <f>IF(C172="","",COUNTA(AI172,AL172,AO172,AR172))</f>
        <v/>
      </c>
      <c r="DC172" s="47">
        <f>IF(C172="","",COUNTA(BM172,BO172,BQ172,BS172,BU172,BW172,BY172,CA172))</f>
        <v/>
      </c>
      <c r="DD172" s="47">
        <f>IF(C172="","",COUNTIF(AV172:BL172,"Yes"))</f>
        <v/>
      </c>
      <c r="DE172" s="47">
        <f>IF(C172="","",COUNTIF(CV172:CZ172,"Yes"))</f>
        <v/>
      </c>
    </row>
    <row r="173">
      <c r="B173" s="46" t="n"/>
      <c r="G173" s="46" t="n"/>
      <c r="AE173" s="46" t="n"/>
      <c r="AH173" s="46" t="n"/>
      <c r="DB173" s="47">
        <f>IF(C173="","",COUNTA(AI173,AL173,AO173,AR173))</f>
        <v/>
      </c>
      <c r="DC173" s="47">
        <f>IF(C173="","",COUNTA(BM173,BO173,BQ173,BS173,BU173,BW173,BY173,CA173))</f>
        <v/>
      </c>
      <c r="DD173" s="47">
        <f>IF(C173="","",COUNTIF(AV173:BL173,"Yes"))</f>
        <v/>
      </c>
      <c r="DE173" s="47">
        <f>IF(C173="","",COUNTIF(CV173:CZ173,"Yes"))</f>
        <v/>
      </c>
    </row>
    <row r="174">
      <c r="B174" s="46" t="n"/>
      <c r="G174" s="46" t="n"/>
      <c r="AE174" s="46" t="n"/>
      <c r="AH174" s="46" t="n"/>
      <c r="DB174" s="47">
        <f>IF(C174="","",COUNTA(AI174,AL174,AO174,AR174))</f>
        <v/>
      </c>
      <c r="DC174" s="47">
        <f>IF(C174="","",COUNTA(BM174,BO174,BQ174,BS174,BU174,BW174,BY174,CA174))</f>
        <v/>
      </c>
      <c r="DD174" s="47">
        <f>IF(C174="","",COUNTIF(AV174:BL174,"Yes"))</f>
        <v/>
      </c>
      <c r="DE174" s="47">
        <f>IF(C174="","",COUNTIF(CV174:CZ174,"Yes"))</f>
        <v/>
      </c>
    </row>
    <row r="175">
      <c r="B175" s="46" t="n"/>
      <c r="G175" s="46" t="n"/>
      <c r="AE175" s="46" t="n"/>
      <c r="AH175" s="46" t="n"/>
      <c r="DB175" s="47">
        <f>IF(C175="","",COUNTA(AI175,AL175,AO175,AR175))</f>
        <v/>
      </c>
      <c r="DC175" s="47">
        <f>IF(C175="","",COUNTA(BM175,BO175,BQ175,BS175,BU175,BW175,BY175,CA175))</f>
        <v/>
      </c>
      <c r="DD175" s="47">
        <f>IF(C175="","",COUNTIF(AV175:BL175,"Yes"))</f>
        <v/>
      </c>
      <c r="DE175" s="47">
        <f>IF(C175="","",COUNTIF(CV175:CZ175,"Yes"))</f>
        <v/>
      </c>
    </row>
    <row r="176">
      <c r="B176" s="46" t="n"/>
      <c r="G176" s="46" t="n"/>
      <c r="AE176" s="46" t="n"/>
      <c r="AH176" s="46" t="n"/>
      <c r="DB176" s="47">
        <f>IF(C176="","",COUNTA(AI176,AL176,AO176,AR176))</f>
        <v/>
      </c>
      <c r="DC176" s="47">
        <f>IF(C176="","",COUNTA(BM176,BO176,BQ176,BS176,BU176,BW176,BY176,CA176))</f>
        <v/>
      </c>
      <c r="DD176" s="47">
        <f>IF(C176="","",COUNTIF(AV176:BL176,"Yes"))</f>
        <v/>
      </c>
      <c r="DE176" s="47">
        <f>IF(C176="","",COUNTIF(CV176:CZ176,"Yes"))</f>
        <v/>
      </c>
    </row>
    <row r="177">
      <c r="B177" s="46" t="n"/>
      <c r="G177" s="46" t="n"/>
      <c r="AE177" s="46" t="n"/>
      <c r="AH177" s="46" t="n"/>
      <c r="DB177" s="47">
        <f>IF(C177="","",COUNTA(AI177,AL177,AO177,AR177))</f>
        <v/>
      </c>
      <c r="DC177" s="47">
        <f>IF(C177="","",COUNTA(BM177,BO177,BQ177,BS177,BU177,BW177,BY177,CA177))</f>
        <v/>
      </c>
      <c r="DD177" s="47">
        <f>IF(C177="","",COUNTIF(AV177:BL177,"Yes"))</f>
        <v/>
      </c>
      <c r="DE177" s="47">
        <f>IF(C177="","",COUNTIF(CV177:CZ177,"Yes"))</f>
        <v/>
      </c>
    </row>
    <row r="178">
      <c r="B178" s="46" t="n"/>
      <c r="G178" s="46" t="n"/>
      <c r="AE178" s="46" t="n"/>
      <c r="AH178" s="46" t="n"/>
      <c r="DB178" s="47">
        <f>IF(C178="","",COUNTA(AI178,AL178,AO178,AR178))</f>
        <v/>
      </c>
      <c r="DC178" s="47">
        <f>IF(C178="","",COUNTA(BM178,BO178,BQ178,BS178,BU178,BW178,BY178,CA178))</f>
        <v/>
      </c>
      <c r="DD178" s="47">
        <f>IF(C178="","",COUNTIF(AV178:BL178,"Yes"))</f>
        <v/>
      </c>
      <c r="DE178" s="47">
        <f>IF(C178="","",COUNTIF(CV178:CZ178,"Yes"))</f>
        <v/>
      </c>
    </row>
    <row r="179">
      <c r="B179" s="46" t="n"/>
      <c r="G179" s="46" t="n"/>
      <c r="AE179" s="46" t="n"/>
      <c r="AH179" s="46" t="n"/>
      <c r="DB179" s="47">
        <f>IF(C179="","",COUNTA(AI179,AL179,AO179,AR179))</f>
        <v/>
      </c>
      <c r="DC179" s="47">
        <f>IF(C179="","",COUNTA(BM179,BO179,BQ179,BS179,BU179,BW179,BY179,CA179))</f>
        <v/>
      </c>
      <c r="DD179" s="47">
        <f>IF(C179="","",COUNTIF(AV179:BL179,"Yes"))</f>
        <v/>
      </c>
      <c r="DE179" s="47">
        <f>IF(C179="","",COUNTIF(CV179:CZ179,"Yes"))</f>
        <v/>
      </c>
    </row>
    <row r="180">
      <c r="B180" s="46" t="n"/>
      <c r="G180" s="46" t="n"/>
      <c r="AE180" s="46" t="n"/>
      <c r="AH180" s="46" t="n"/>
      <c r="DB180" s="47">
        <f>IF(C180="","",COUNTA(AI180,AL180,AO180,AR180))</f>
        <v/>
      </c>
      <c r="DC180" s="47">
        <f>IF(C180="","",COUNTA(BM180,BO180,BQ180,BS180,BU180,BW180,BY180,CA180))</f>
        <v/>
      </c>
      <c r="DD180" s="47">
        <f>IF(C180="","",COUNTIF(AV180:BL180,"Yes"))</f>
        <v/>
      </c>
      <c r="DE180" s="47">
        <f>IF(C180="","",COUNTIF(CV180:CZ180,"Yes"))</f>
        <v/>
      </c>
    </row>
    <row r="181">
      <c r="B181" s="46" t="n"/>
      <c r="G181" s="46" t="n"/>
      <c r="AE181" s="46" t="n"/>
      <c r="AH181" s="46" t="n"/>
      <c r="DB181" s="47">
        <f>IF(C181="","",COUNTA(AI181,AL181,AO181,AR181))</f>
        <v/>
      </c>
      <c r="DC181" s="47">
        <f>IF(C181="","",COUNTA(BM181,BO181,BQ181,BS181,BU181,BW181,BY181,CA181))</f>
        <v/>
      </c>
      <c r="DD181" s="47">
        <f>IF(C181="","",COUNTIF(AV181:BL181,"Yes"))</f>
        <v/>
      </c>
      <c r="DE181" s="47">
        <f>IF(C181="","",COUNTIF(CV181:CZ181,"Yes"))</f>
        <v/>
      </c>
    </row>
    <row r="182">
      <c r="B182" s="46" t="n"/>
      <c r="G182" s="46" t="n"/>
      <c r="AE182" s="46" t="n"/>
      <c r="AH182" s="46" t="n"/>
      <c r="DB182" s="47">
        <f>IF(C182="","",COUNTA(AI182,AL182,AO182,AR182))</f>
        <v/>
      </c>
      <c r="DC182" s="47">
        <f>IF(C182="","",COUNTA(BM182,BO182,BQ182,BS182,BU182,BW182,BY182,CA182))</f>
        <v/>
      </c>
      <c r="DD182" s="47">
        <f>IF(C182="","",COUNTIF(AV182:BL182,"Yes"))</f>
        <v/>
      </c>
      <c r="DE182" s="47">
        <f>IF(C182="","",COUNTIF(CV182:CZ182,"Yes"))</f>
        <v/>
      </c>
    </row>
    <row r="183">
      <c r="B183" s="46" t="n"/>
      <c r="G183" s="46" t="n"/>
      <c r="AE183" s="46" t="n"/>
      <c r="AH183" s="46" t="n"/>
      <c r="DB183" s="47">
        <f>IF(C183="","",COUNTA(AI183,AL183,AO183,AR183))</f>
        <v/>
      </c>
      <c r="DC183" s="47">
        <f>IF(C183="","",COUNTA(BM183,BO183,BQ183,BS183,BU183,BW183,BY183,CA183))</f>
        <v/>
      </c>
      <c r="DD183" s="47">
        <f>IF(C183="","",COUNTIF(AV183:BL183,"Yes"))</f>
        <v/>
      </c>
      <c r="DE183" s="47">
        <f>IF(C183="","",COUNTIF(CV183:CZ183,"Yes"))</f>
        <v/>
      </c>
    </row>
    <row r="184">
      <c r="B184" s="46" t="n"/>
      <c r="G184" s="46" t="n"/>
      <c r="AE184" s="46" t="n"/>
      <c r="AH184" s="46" t="n"/>
      <c r="DB184" s="47">
        <f>IF(C184="","",COUNTA(AI184,AL184,AO184,AR184))</f>
        <v/>
      </c>
      <c r="DC184" s="47">
        <f>IF(C184="","",COUNTA(BM184,BO184,BQ184,BS184,BU184,BW184,BY184,CA184))</f>
        <v/>
      </c>
      <c r="DD184" s="47">
        <f>IF(C184="","",COUNTIF(AV184:BL184,"Yes"))</f>
        <v/>
      </c>
      <c r="DE184" s="47">
        <f>IF(C184="","",COUNTIF(CV184:CZ184,"Yes"))</f>
        <v/>
      </c>
    </row>
    <row r="185">
      <c r="B185" s="46" t="n"/>
      <c r="G185" s="46" t="n"/>
      <c r="AE185" s="46" t="n"/>
      <c r="AH185" s="46" t="n"/>
      <c r="DB185" s="47">
        <f>IF(C185="","",COUNTA(AI185,AL185,AO185,AR185))</f>
        <v/>
      </c>
      <c r="DC185" s="47">
        <f>IF(C185="","",COUNTA(BM185,BO185,BQ185,BS185,BU185,BW185,BY185,CA185))</f>
        <v/>
      </c>
      <c r="DD185" s="47">
        <f>IF(C185="","",COUNTIF(AV185:BL185,"Yes"))</f>
        <v/>
      </c>
      <c r="DE185" s="47">
        <f>IF(C185="","",COUNTIF(CV185:CZ185,"Yes"))</f>
        <v/>
      </c>
    </row>
    <row r="186">
      <c r="B186" s="46" t="n"/>
      <c r="G186" s="46" t="n"/>
      <c r="AE186" s="46" t="n"/>
      <c r="AH186" s="46" t="n"/>
      <c r="DB186" s="47">
        <f>IF(C186="","",COUNTA(AI186,AL186,AO186,AR186))</f>
        <v/>
      </c>
      <c r="DC186" s="47">
        <f>IF(C186="","",COUNTA(BM186,BO186,BQ186,BS186,BU186,BW186,BY186,CA186))</f>
        <v/>
      </c>
      <c r="DD186" s="47">
        <f>IF(C186="","",COUNTIF(AV186:BL186,"Yes"))</f>
        <v/>
      </c>
      <c r="DE186" s="47">
        <f>IF(C186="","",COUNTIF(CV186:CZ186,"Yes"))</f>
        <v/>
      </c>
    </row>
    <row r="187">
      <c r="B187" s="46" t="n"/>
      <c r="G187" s="46" t="n"/>
      <c r="AE187" s="46" t="n"/>
      <c r="AH187" s="46" t="n"/>
      <c r="DB187" s="47">
        <f>IF(C187="","",COUNTA(AI187,AL187,AO187,AR187))</f>
        <v/>
      </c>
      <c r="DC187" s="47">
        <f>IF(C187="","",COUNTA(BM187,BO187,BQ187,BS187,BU187,BW187,BY187,CA187))</f>
        <v/>
      </c>
      <c r="DD187" s="47">
        <f>IF(C187="","",COUNTIF(AV187:BL187,"Yes"))</f>
        <v/>
      </c>
      <c r="DE187" s="47">
        <f>IF(C187="","",COUNTIF(CV187:CZ187,"Yes"))</f>
        <v/>
      </c>
    </row>
    <row r="188">
      <c r="B188" s="46" t="n"/>
      <c r="G188" s="46" t="n"/>
      <c r="AE188" s="46" t="n"/>
      <c r="AH188" s="46" t="n"/>
      <c r="DB188" s="47">
        <f>IF(C188="","",COUNTA(AI188,AL188,AO188,AR188))</f>
        <v/>
      </c>
      <c r="DC188" s="47">
        <f>IF(C188="","",COUNTA(BM188,BO188,BQ188,BS188,BU188,BW188,BY188,CA188))</f>
        <v/>
      </c>
      <c r="DD188" s="47">
        <f>IF(C188="","",COUNTIF(AV188:BL188,"Yes"))</f>
        <v/>
      </c>
      <c r="DE188" s="47">
        <f>IF(C188="","",COUNTIF(CV188:CZ188,"Yes"))</f>
        <v/>
      </c>
    </row>
    <row r="189">
      <c r="B189" s="46" t="n"/>
      <c r="G189" s="46" t="n"/>
      <c r="AE189" s="46" t="n"/>
      <c r="AH189" s="46" t="n"/>
      <c r="DB189" s="47">
        <f>IF(C189="","",COUNTA(AI189,AL189,AO189,AR189))</f>
        <v/>
      </c>
      <c r="DC189" s="47">
        <f>IF(C189="","",COUNTA(BM189,BO189,BQ189,BS189,BU189,BW189,BY189,CA189))</f>
        <v/>
      </c>
      <c r="DD189" s="47">
        <f>IF(C189="","",COUNTIF(AV189:BL189,"Yes"))</f>
        <v/>
      </c>
      <c r="DE189" s="47">
        <f>IF(C189="","",COUNTIF(CV189:CZ189,"Yes"))</f>
        <v/>
      </c>
    </row>
    <row r="190">
      <c r="B190" s="46" t="n"/>
      <c r="G190" s="46" t="n"/>
      <c r="AE190" s="46" t="n"/>
      <c r="AH190" s="46" t="n"/>
      <c r="DB190" s="47">
        <f>IF(C190="","",COUNTA(AI190,AL190,AO190,AR190))</f>
        <v/>
      </c>
      <c r="DC190" s="47">
        <f>IF(C190="","",COUNTA(BM190,BO190,BQ190,BS190,BU190,BW190,BY190,CA190))</f>
        <v/>
      </c>
      <c r="DD190" s="47">
        <f>IF(C190="","",COUNTIF(AV190:BL190,"Yes"))</f>
        <v/>
      </c>
      <c r="DE190" s="47">
        <f>IF(C190="","",COUNTIF(CV190:CZ190,"Yes"))</f>
        <v/>
      </c>
    </row>
    <row r="191">
      <c r="B191" s="46" t="n"/>
      <c r="G191" s="46" t="n"/>
      <c r="AE191" s="46" t="n"/>
      <c r="AH191" s="46" t="n"/>
      <c r="DB191" s="47">
        <f>IF(C191="","",COUNTA(AI191,AL191,AO191,AR191))</f>
        <v/>
      </c>
      <c r="DC191" s="47">
        <f>IF(C191="","",COUNTA(BM191,BO191,BQ191,BS191,BU191,BW191,BY191,CA191))</f>
        <v/>
      </c>
      <c r="DD191" s="47">
        <f>IF(C191="","",COUNTIF(AV191:BL191,"Yes"))</f>
        <v/>
      </c>
      <c r="DE191" s="47">
        <f>IF(C191="","",COUNTIF(CV191:CZ191,"Yes"))</f>
        <v/>
      </c>
    </row>
    <row r="192">
      <c r="B192" s="46" t="n"/>
      <c r="G192" s="46" t="n"/>
      <c r="AE192" s="46" t="n"/>
      <c r="AH192" s="46" t="n"/>
      <c r="DB192" s="47">
        <f>IF(C192="","",COUNTA(AI192,AL192,AO192,AR192))</f>
        <v/>
      </c>
      <c r="DC192" s="47">
        <f>IF(C192="","",COUNTA(BM192,BO192,BQ192,BS192,BU192,BW192,BY192,CA192))</f>
        <v/>
      </c>
      <c r="DD192" s="47">
        <f>IF(C192="","",COUNTIF(AV192:BL192,"Yes"))</f>
        <v/>
      </c>
      <c r="DE192" s="47">
        <f>IF(C192="","",COUNTIF(CV192:CZ192,"Yes"))</f>
        <v/>
      </c>
    </row>
    <row r="193">
      <c r="B193" s="46" t="n"/>
      <c r="G193" s="46" t="n"/>
      <c r="AE193" s="46" t="n"/>
      <c r="AH193" s="46" t="n"/>
      <c r="DB193" s="47">
        <f>IF(C193="","",COUNTA(AI193,AL193,AO193,AR193))</f>
        <v/>
      </c>
      <c r="DC193" s="47">
        <f>IF(C193="","",COUNTA(BM193,BO193,BQ193,BS193,BU193,BW193,BY193,CA193))</f>
        <v/>
      </c>
      <c r="DD193" s="47">
        <f>IF(C193="","",COUNTIF(AV193:BL193,"Yes"))</f>
        <v/>
      </c>
      <c r="DE193" s="47">
        <f>IF(C193="","",COUNTIF(CV193:CZ193,"Yes"))</f>
        <v/>
      </c>
    </row>
    <row r="194">
      <c r="B194" s="46" t="n"/>
      <c r="G194" s="46" t="n"/>
      <c r="AE194" s="46" t="n"/>
      <c r="AH194" s="46" t="n"/>
      <c r="DB194" s="47">
        <f>IF(C194="","",COUNTA(AI194,AL194,AO194,AR194))</f>
        <v/>
      </c>
      <c r="DC194" s="47">
        <f>IF(C194="","",COUNTA(BM194,BO194,BQ194,BS194,BU194,BW194,BY194,CA194))</f>
        <v/>
      </c>
      <c r="DD194" s="47">
        <f>IF(C194="","",COUNTIF(AV194:BL194,"Yes"))</f>
        <v/>
      </c>
      <c r="DE194" s="47">
        <f>IF(C194="","",COUNTIF(CV194:CZ194,"Yes"))</f>
        <v/>
      </c>
    </row>
    <row r="195">
      <c r="B195" s="46" t="n"/>
      <c r="G195" s="46" t="n"/>
      <c r="AE195" s="46" t="n"/>
      <c r="AH195" s="46" t="n"/>
      <c r="DB195" s="47">
        <f>IF(C195="","",COUNTA(AI195,AL195,AO195,AR195))</f>
        <v/>
      </c>
      <c r="DC195" s="47">
        <f>IF(C195="","",COUNTA(BM195,BO195,BQ195,BS195,BU195,BW195,BY195,CA195))</f>
        <v/>
      </c>
      <c r="DD195" s="47">
        <f>IF(C195="","",COUNTIF(AV195:BL195,"Yes"))</f>
        <v/>
      </c>
      <c r="DE195" s="47">
        <f>IF(C195="","",COUNTIF(CV195:CZ195,"Yes"))</f>
        <v/>
      </c>
    </row>
    <row r="196">
      <c r="B196" s="46" t="n"/>
      <c r="G196" s="46" t="n"/>
      <c r="AE196" s="46" t="n"/>
      <c r="AH196" s="46" t="n"/>
      <c r="DB196" s="47">
        <f>IF(C196="","",COUNTA(AI196,AL196,AO196,AR196))</f>
        <v/>
      </c>
      <c r="DC196" s="47">
        <f>IF(C196="","",COUNTA(BM196,BO196,BQ196,BS196,BU196,BW196,BY196,CA196))</f>
        <v/>
      </c>
      <c r="DD196" s="47">
        <f>IF(C196="","",COUNTIF(AV196:BL196,"Yes"))</f>
        <v/>
      </c>
      <c r="DE196" s="47">
        <f>IF(C196="","",COUNTIF(CV196:CZ196,"Yes"))</f>
        <v/>
      </c>
    </row>
    <row r="197">
      <c r="B197" s="46" t="n"/>
      <c r="G197" s="46" t="n"/>
      <c r="AE197" s="46" t="n"/>
      <c r="AH197" s="46" t="n"/>
      <c r="DB197" s="47">
        <f>IF(C197="","",COUNTA(AI197,AL197,AO197,AR197))</f>
        <v/>
      </c>
      <c r="DC197" s="47">
        <f>IF(C197="","",COUNTA(BM197,BO197,BQ197,BS197,BU197,BW197,BY197,CA197))</f>
        <v/>
      </c>
      <c r="DD197" s="47">
        <f>IF(C197="","",COUNTIF(AV197:BL197,"Yes"))</f>
        <v/>
      </c>
      <c r="DE197" s="47">
        <f>IF(C197="","",COUNTIF(CV197:CZ197,"Yes"))</f>
        <v/>
      </c>
    </row>
    <row r="198">
      <c r="B198" s="46" t="n"/>
      <c r="G198" s="46" t="n"/>
      <c r="AE198" s="46" t="n"/>
      <c r="AH198" s="46" t="n"/>
      <c r="DB198" s="47">
        <f>IF(C198="","",COUNTA(AI198,AL198,AO198,AR198))</f>
        <v/>
      </c>
      <c r="DC198" s="47">
        <f>IF(C198="","",COUNTA(BM198,BO198,BQ198,BS198,BU198,BW198,BY198,CA198))</f>
        <v/>
      </c>
      <c r="DD198" s="47">
        <f>IF(C198="","",COUNTIF(AV198:BL198,"Yes"))</f>
        <v/>
      </c>
      <c r="DE198" s="47">
        <f>IF(C198="","",COUNTIF(CV198:CZ198,"Yes"))</f>
        <v/>
      </c>
    </row>
    <row r="199">
      <c r="B199" s="46" t="n"/>
      <c r="G199" s="46" t="n"/>
      <c r="AE199" s="46" t="n"/>
      <c r="AH199" s="46" t="n"/>
      <c r="DB199" s="47">
        <f>IF(C199="","",COUNTA(AI199,AL199,AO199,AR199))</f>
        <v/>
      </c>
      <c r="DC199" s="47">
        <f>IF(C199="","",COUNTA(BM199,BO199,BQ199,BS199,BU199,BW199,BY199,CA199))</f>
        <v/>
      </c>
      <c r="DD199" s="47">
        <f>IF(C199="","",COUNTIF(AV199:BL199,"Yes"))</f>
        <v/>
      </c>
      <c r="DE199" s="47">
        <f>IF(C199="","",COUNTIF(CV199:CZ199,"Yes"))</f>
        <v/>
      </c>
    </row>
    <row r="200">
      <c r="B200" s="46" t="n"/>
      <c r="G200" s="46" t="n"/>
      <c r="AE200" s="46" t="n"/>
      <c r="AH200" s="46" t="n"/>
      <c r="DB200" s="47">
        <f>IF(C200="","",COUNTA(AI200,AL200,AO200,AR200))</f>
        <v/>
      </c>
      <c r="DC200" s="47">
        <f>IF(C200="","",COUNTA(BM200,BO200,BQ200,BS200,BU200,BW200,BY200,CA200))</f>
        <v/>
      </c>
      <c r="DD200" s="47">
        <f>IF(C200="","",COUNTIF(AV200:BL200,"Yes"))</f>
        <v/>
      </c>
      <c r="DE200" s="47">
        <f>IF(C200="","",COUNTIF(CV200:CZ200,"Yes"))</f>
        <v/>
      </c>
    </row>
    <row r="201">
      <c r="B201" s="46" t="n"/>
      <c r="G201" s="46" t="n"/>
      <c r="AE201" s="46" t="n"/>
      <c r="AH201" s="46" t="n"/>
      <c r="DB201" s="47">
        <f>IF(C201="","",COUNTA(AI201,AL201,AO201,AR201))</f>
        <v/>
      </c>
      <c r="DC201" s="47">
        <f>IF(C201="","",COUNTA(BM201,BO201,BQ201,BS201,BU201,BW201,BY201,CA201))</f>
        <v/>
      </c>
      <c r="DD201" s="47">
        <f>IF(C201="","",COUNTIF(AV201:BL201,"Yes"))</f>
        <v/>
      </c>
      <c r="DE201" s="47">
        <f>IF(C201="","",COUNTIF(CV201:CZ201,"Yes"))</f>
        <v/>
      </c>
    </row>
    <row r="202">
      <c r="B202" s="46" t="n"/>
      <c r="G202" s="46" t="n"/>
      <c r="AE202" s="46" t="n"/>
      <c r="AH202" s="46" t="n"/>
      <c r="DB202" s="47">
        <f>IF(C202="","",COUNTA(AI202,AL202,AO202,AR202))</f>
        <v/>
      </c>
      <c r="DC202" s="47">
        <f>IF(C202="","",COUNTA(BM202,BO202,BQ202,BS202,BU202,BW202,BY202,CA202))</f>
        <v/>
      </c>
      <c r="DD202" s="47">
        <f>IF(C202="","",COUNTIF(AV202:BL202,"Yes"))</f>
        <v/>
      </c>
      <c r="DE202" s="47">
        <f>IF(C202="","",COUNTIF(CV202:CZ202,"Yes"))</f>
        <v/>
      </c>
    </row>
    <row r="203">
      <c r="B203" s="46" t="n"/>
      <c r="G203" s="46" t="n"/>
      <c r="AE203" s="46" t="n"/>
      <c r="AH203" s="46" t="n"/>
      <c r="DB203" s="47">
        <f>IF(C203="","",COUNTA(AI203,AL203,AO203,AR203))</f>
        <v/>
      </c>
      <c r="DC203" s="47">
        <f>IF(C203="","",COUNTA(BM203,BO203,BQ203,BS203,BU203,BW203,BY203,CA203))</f>
        <v/>
      </c>
      <c r="DD203" s="47">
        <f>IF(C203="","",COUNTIF(AV203:BL203,"Yes"))</f>
        <v/>
      </c>
      <c r="DE203" s="47">
        <f>IF(C203="","",COUNTIF(CV203:CZ203,"Yes"))</f>
        <v/>
      </c>
    </row>
    <row r="204">
      <c r="B204" s="46" t="n"/>
      <c r="G204" s="46" t="n"/>
      <c r="AE204" s="46" t="n"/>
      <c r="AH204" s="46" t="n"/>
      <c r="DB204" s="47">
        <f>IF(C204="","",COUNTA(AI204,AL204,AO204,AR204))</f>
        <v/>
      </c>
      <c r="DC204" s="47">
        <f>IF(C204="","",COUNTA(BM204,BO204,BQ204,BS204,BU204,BW204,BY204,CA204))</f>
        <v/>
      </c>
      <c r="DD204" s="47">
        <f>IF(C204="","",COUNTIF(AV204:BL204,"Yes"))</f>
        <v/>
      </c>
      <c r="DE204" s="47">
        <f>IF(C204="","",COUNTIF(CV204:CZ204,"Yes"))</f>
        <v/>
      </c>
    </row>
    <row r="205">
      <c r="B205" s="46" t="n"/>
      <c r="G205" s="46" t="n"/>
      <c r="AE205" s="46" t="n"/>
      <c r="AH205" s="46" t="n"/>
      <c r="DB205" s="47">
        <f>IF(C205="","",COUNTA(AI205,AL205,AO205,AR205))</f>
        <v/>
      </c>
      <c r="DC205" s="47">
        <f>IF(C205="","",COUNTA(BM205,BO205,BQ205,BS205,BU205,BW205,BY205,CA205))</f>
        <v/>
      </c>
      <c r="DD205" s="47">
        <f>IF(C205="","",COUNTIF(AV205:BL205,"Yes"))</f>
        <v/>
      </c>
      <c r="DE205" s="47">
        <f>IF(C205="","",COUNTIF(CV205:CZ205,"Yes"))</f>
        <v/>
      </c>
    </row>
    <row r="206">
      <c r="B206" s="46" t="n"/>
      <c r="G206" s="46" t="n"/>
      <c r="AE206" s="46" t="n"/>
      <c r="AH206" s="46" t="n"/>
      <c r="DB206" s="47">
        <f>IF(C206="","",COUNTA(AI206,AL206,AO206,AR206))</f>
        <v/>
      </c>
      <c r="DC206" s="47">
        <f>IF(C206="","",COUNTA(BM206,BO206,BQ206,BS206,BU206,BW206,BY206,CA206))</f>
        <v/>
      </c>
      <c r="DD206" s="47">
        <f>IF(C206="","",COUNTIF(AV206:BL206,"Yes"))</f>
        <v/>
      </c>
      <c r="DE206" s="47">
        <f>IF(C206="","",COUNTIF(CV206:CZ206,"Yes"))</f>
        <v/>
      </c>
    </row>
    <row r="207">
      <c r="B207" s="46" t="n"/>
      <c r="G207" s="46" t="n"/>
      <c r="AE207" s="46" t="n"/>
      <c r="AH207" s="46" t="n"/>
      <c r="DB207" s="47">
        <f>IF(C207="","",COUNTA(AI207,AL207,AO207,AR207))</f>
        <v/>
      </c>
      <c r="DC207" s="47">
        <f>IF(C207="","",COUNTA(BM207,BO207,BQ207,BS207,BU207,BW207,BY207,CA207))</f>
        <v/>
      </c>
      <c r="DD207" s="47">
        <f>IF(C207="","",COUNTIF(AV207:BL207,"Yes"))</f>
        <v/>
      </c>
      <c r="DE207" s="47">
        <f>IF(C207="","",COUNTIF(CV207:CZ207,"Yes"))</f>
        <v/>
      </c>
    </row>
    <row r="208">
      <c r="B208" s="46" t="n"/>
      <c r="G208" s="46" t="n"/>
      <c r="AE208" s="46" t="n"/>
      <c r="AH208" s="46" t="n"/>
      <c r="DB208" s="47">
        <f>IF(C208="","",COUNTA(AI208,AL208,AO208,AR208))</f>
        <v/>
      </c>
      <c r="DC208" s="47">
        <f>IF(C208="","",COUNTA(BM208,BO208,BQ208,BS208,BU208,BW208,BY208,CA208))</f>
        <v/>
      </c>
      <c r="DD208" s="47">
        <f>IF(C208="","",COUNTIF(AV208:BL208,"Yes"))</f>
        <v/>
      </c>
      <c r="DE208" s="47">
        <f>IF(C208="","",COUNTIF(CV208:CZ208,"Yes"))</f>
        <v/>
      </c>
    </row>
    <row r="209">
      <c r="B209" s="46" t="n"/>
      <c r="G209" s="46" t="n"/>
      <c r="AE209" s="46" t="n"/>
      <c r="AH209" s="46" t="n"/>
      <c r="DB209" s="47">
        <f>IF(C209="","",COUNTA(AI209,AL209,AO209,AR209))</f>
        <v/>
      </c>
      <c r="DC209" s="47">
        <f>IF(C209="","",COUNTA(BM209,BO209,BQ209,BS209,BU209,BW209,BY209,CA209))</f>
        <v/>
      </c>
      <c r="DD209" s="47">
        <f>IF(C209="","",COUNTIF(AV209:BL209,"Yes"))</f>
        <v/>
      </c>
      <c r="DE209" s="47">
        <f>IF(C209="","",COUNTIF(CV209:CZ209,"Yes"))</f>
        <v/>
      </c>
    </row>
    <row r="210">
      <c r="B210" s="46" t="n"/>
      <c r="G210" s="46" t="n"/>
      <c r="AE210" s="46" t="n"/>
      <c r="AH210" s="46" t="n"/>
      <c r="DB210" s="47">
        <f>IF(C210="","",COUNTA(AI210,AL210,AO210,AR210))</f>
        <v/>
      </c>
      <c r="DC210" s="47">
        <f>IF(C210="","",COUNTA(BM210,BO210,BQ210,BS210,BU210,BW210,BY210,CA210))</f>
        <v/>
      </c>
      <c r="DD210" s="47">
        <f>IF(C210="","",COUNTIF(AV210:BL210,"Yes"))</f>
        <v/>
      </c>
      <c r="DE210" s="47">
        <f>IF(C210="","",COUNTIF(CV210:CZ210,"Yes"))</f>
        <v/>
      </c>
    </row>
    <row r="211">
      <c r="B211" s="46" t="n"/>
      <c r="G211" s="46" t="n"/>
      <c r="AE211" s="46" t="n"/>
      <c r="AH211" s="46" t="n"/>
      <c r="DB211" s="47">
        <f>IF(C211="","",COUNTA(AI211,AL211,AO211,AR211))</f>
        <v/>
      </c>
      <c r="DC211" s="47">
        <f>IF(C211="","",COUNTA(BM211,BO211,BQ211,BS211,BU211,BW211,BY211,CA211))</f>
        <v/>
      </c>
      <c r="DD211" s="47">
        <f>IF(C211="","",COUNTIF(AV211:BL211,"Yes"))</f>
        <v/>
      </c>
      <c r="DE211" s="47">
        <f>IF(C211="","",COUNTIF(CV211:CZ211,"Yes"))</f>
        <v/>
      </c>
    </row>
    <row r="212">
      <c r="B212" s="46" t="n"/>
      <c r="G212" s="46" t="n"/>
      <c r="AE212" s="46" t="n"/>
      <c r="AH212" s="46" t="n"/>
      <c r="DB212" s="47">
        <f>IF(C212="","",COUNTA(AI212,AL212,AO212,AR212))</f>
        <v/>
      </c>
      <c r="DC212" s="47">
        <f>IF(C212="","",COUNTA(BM212,BO212,BQ212,BS212,BU212,BW212,BY212,CA212))</f>
        <v/>
      </c>
      <c r="DD212" s="47">
        <f>IF(C212="","",COUNTIF(AV212:BL212,"Yes"))</f>
        <v/>
      </c>
      <c r="DE212" s="47">
        <f>IF(C212="","",COUNTIF(CV212:CZ212,"Yes"))</f>
        <v/>
      </c>
    </row>
    <row r="213">
      <c r="B213" s="46" t="n"/>
      <c r="G213" s="46" t="n"/>
      <c r="AE213" s="46" t="n"/>
      <c r="AH213" s="46" t="n"/>
      <c r="DB213" s="47">
        <f>IF(C213="","",COUNTA(AI213,AL213,AO213,AR213))</f>
        <v/>
      </c>
      <c r="DC213" s="47">
        <f>IF(C213="","",COUNTA(BM213,BO213,BQ213,BS213,BU213,BW213,BY213,CA213))</f>
        <v/>
      </c>
      <c r="DD213" s="47">
        <f>IF(C213="","",COUNTIF(AV213:BL213,"Yes"))</f>
        <v/>
      </c>
      <c r="DE213" s="47">
        <f>IF(C213="","",COUNTIF(CV213:CZ213,"Yes"))</f>
        <v/>
      </c>
    </row>
    <row r="214">
      <c r="B214" s="46" t="n"/>
      <c r="G214" s="46" t="n"/>
      <c r="AE214" s="46" t="n"/>
      <c r="AH214" s="46" t="n"/>
      <c r="DB214" s="47">
        <f>IF(C214="","",COUNTA(AI214,AL214,AO214,AR214))</f>
        <v/>
      </c>
      <c r="DC214" s="47">
        <f>IF(C214="","",COUNTA(BM214,BO214,BQ214,BS214,BU214,BW214,BY214,CA214))</f>
        <v/>
      </c>
      <c r="DD214" s="47">
        <f>IF(C214="","",COUNTIF(AV214:BL214,"Yes"))</f>
        <v/>
      </c>
      <c r="DE214" s="47">
        <f>IF(C214="","",COUNTIF(CV214:CZ214,"Yes"))</f>
        <v/>
      </c>
    </row>
    <row r="215">
      <c r="B215" s="46" t="n"/>
      <c r="G215" s="46" t="n"/>
      <c r="AE215" s="46" t="n"/>
      <c r="AH215" s="46" t="n"/>
      <c r="DB215" s="47">
        <f>IF(C215="","",COUNTA(AI215,AL215,AO215,AR215))</f>
        <v/>
      </c>
      <c r="DC215" s="47">
        <f>IF(C215="","",COUNTA(BM215,BO215,BQ215,BS215,BU215,BW215,BY215,CA215))</f>
        <v/>
      </c>
      <c r="DD215" s="47">
        <f>IF(C215="","",COUNTIF(AV215:BL215,"Yes"))</f>
        <v/>
      </c>
      <c r="DE215" s="47">
        <f>IF(C215="","",COUNTIF(CV215:CZ215,"Yes"))</f>
        <v/>
      </c>
    </row>
    <row r="216">
      <c r="B216" s="46" t="n"/>
      <c r="G216" s="46" t="n"/>
      <c r="AE216" s="46" t="n"/>
      <c r="AH216" s="46" t="n"/>
      <c r="DB216" s="47">
        <f>IF(C216="","",COUNTA(AI216,AL216,AO216,AR216))</f>
        <v/>
      </c>
      <c r="DC216" s="47">
        <f>IF(C216="","",COUNTA(BM216,BO216,BQ216,BS216,BU216,BW216,BY216,CA216))</f>
        <v/>
      </c>
      <c r="DD216" s="47">
        <f>IF(C216="","",COUNTIF(AV216:BL216,"Yes"))</f>
        <v/>
      </c>
      <c r="DE216" s="47">
        <f>IF(C216="","",COUNTIF(CV216:CZ216,"Yes"))</f>
        <v/>
      </c>
    </row>
    <row r="217">
      <c r="B217" s="46" t="n"/>
      <c r="G217" s="46" t="n"/>
      <c r="AE217" s="46" t="n"/>
      <c r="AH217" s="46" t="n"/>
      <c r="DB217" s="47">
        <f>IF(C217="","",COUNTA(AI217,AL217,AO217,AR217))</f>
        <v/>
      </c>
      <c r="DC217" s="47">
        <f>IF(C217="","",COUNTA(BM217,BO217,BQ217,BS217,BU217,BW217,BY217,CA217))</f>
        <v/>
      </c>
      <c r="DD217" s="47">
        <f>IF(C217="","",COUNTIF(AV217:BL217,"Yes"))</f>
        <v/>
      </c>
      <c r="DE217" s="47">
        <f>IF(C217="","",COUNTIF(CV217:CZ217,"Yes"))</f>
        <v/>
      </c>
    </row>
    <row r="218">
      <c r="B218" s="46" t="n"/>
      <c r="G218" s="46" t="n"/>
      <c r="AE218" s="46" t="n"/>
      <c r="AH218" s="46" t="n"/>
      <c r="DB218" s="47">
        <f>IF(C218="","",COUNTA(AI218,AL218,AO218,AR218))</f>
        <v/>
      </c>
      <c r="DC218" s="47">
        <f>IF(C218="","",COUNTA(BM218,BO218,BQ218,BS218,BU218,BW218,BY218,CA218))</f>
        <v/>
      </c>
      <c r="DD218" s="47">
        <f>IF(C218="","",COUNTIF(AV218:BL218,"Yes"))</f>
        <v/>
      </c>
      <c r="DE218" s="47">
        <f>IF(C218="","",COUNTIF(CV218:CZ218,"Yes"))</f>
        <v/>
      </c>
    </row>
    <row r="219">
      <c r="B219" s="46" t="n"/>
      <c r="G219" s="46" t="n"/>
      <c r="AE219" s="46" t="n"/>
      <c r="AH219" s="46" t="n"/>
      <c r="DB219" s="47">
        <f>IF(C219="","",COUNTA(AI219,AL219,AO219,AR219))</f>
        <v/>
      </c>
      <c r="DC219" s="47">
        <f>IF(C219="","",COUNTA(BM219,BO219,BQ219,BS219,BU219,BW219,BY219,CA219))</f>
        <v/>
      </c>
      <c r="DD219" s="47">
        <f>IF(C219="","",COUNTIF(AV219:BL219,"Yes"))</f>
        <v/>
      </c>
      <c r="DE219" s="47">
        <f>IF(C219="","",COUNTIF(CV219:CZ219,"Yes"))</f>
        <v/>
      </c>
    </row>
    <row r="220">
      <c r="B220" s="46" t="n"/>
      <c r="G220" s="46" t="n"/>
      <c r="AE220" s="46" t="n"/>
      <c r="AH220" s="46" t="n"/>
      <c r="DB220" s="47">
        <f>IF(C220="","",COUNTA(AI220,AL220,AO220,AR220))</f>
        <v/>
      </c>
      <c r="DC220" s="47">
        <f>IF(C220="","",COUNTA(BM220,BO220,BQ220,BS220,BU220,BW220,BY220,CA220))</f>
        <v/>
      </c>
      <c r="DD220" s="47">
        <f>IF(C220="","",COUNTIF(AV220:BL220,"Yes"))</f>
        <v/>
      </c>
      <c r="DE220" s="47">
        <f>IF(C220="","",COUNTIF(CV220:CZ220,"Yes"))</f>
        <v/>
      </c>
    </row>
    <row r="221">
      <c r="B221" s="46" t="n"/>
      <c r="G221" s="46" t="n"/>
      <c r="AE221" s="46" t="n"/>
      <c r="AH221" s="46" t="n"/>
      <c r="DB221" s="47">
        <f>IF(C221="","",COUNTA(AI221,AL221,AO221,AR221))</f>
        <v/>
      </c>
      <c r="DC221" s="47">
        <f>IF(C221="","",COUNTA(BM221,BO221,BQ221,BS221,BU221,BW221,BY221,CA221))</f>
        <v/>
      </c>
      <c r="DD221" s="47">
        <f>IF(C221="","",COUNTIF(AV221:BL221,"Yes"))</f>
        <v/>
      </c>
      <c r="DE221" s="47">
        <f>IF(C221="","",COUNTIF(CV221:CZ221,"Yes"))</f>
        <v/>
      </c>
    </row>
    <row r="222">
      <c r="B222" s="46" t="n"/>
      <c r="G222" s="46" t="n"/>
      <c r="AE222" s="46" t="n"/>
      <c r="AH222" s="46" t="n"/>
      <c r="DB222" s="47">
        <f>IF(C222="","",COUNTA(AI222,AL222,AO222,AR222))</f>
        <v/>
      </c>
      <c r="DC222" s="47">
        <f>IF(C222="","",COUNTA(BM222,BO222,BQ222,BS222,BU222,BW222,BY222,CA222))</f>
        <v/>
      </c>
      <c r="DD222" s="47">
        <f>IF(C222="","",COUNTIF(AV222:BL222,"Yes"))</f>
        <v/>
      </c>
      <c r="DE222" s="47">
        <f>IF(C222="","",COUNTIF(CV222:CZ222,"Yes"))</f>
        <v/>
      </c>
    </row>
    <row r="223">
      <c r="B223" s="46" t="n"/>
      <c r="G223" s="46" t="n"/>
      <c r="AE223" s="46" t="n"/>
      <c r="AH223" s="46" t="n"/>
      <c r="DB223" s="47">
        <f>IF(C223="","",COUNTA(AI223,AL223,AO223,AR223))</f>
        <v/>
      </c>
      <c r="DC223" s="47">
        <f>IF(C223="","",COUNTA(BM223,BO223,BQ223,BS223,BU223,BW223,BY223,CA223))</f>
        <v/>
      </c>
      <c r="DD223" s="47">
        <f>IF(C223="","",COUNTIF(AV223:BL223,"Yes"))</f>
        <v/>
      </c>
      <c r="DE223" s="47">
        <f>IF(C223="","",COUNTIF(CV223:CZ223,"Yes"))</f>
        <v/>
      </c>
    </row>
    <row r="224">
      <c r="B224" s="46" t="n"/>
      <c r="G224" s="46" t="n"/>
      <c r="AE224" s="46" t="n"/>
      <c r="AH224" s="46" t="n"/>
      <c r="DB224" s="47">
        <f>IF(C224="","",COUNTA(AI224,AL224,AO224,AR224))</f>
        <v/>
      </c>
      <c r="DC224" s="47">
        <f>IF(C224="","",COUNTA(BM224,BO224,BQ224,BS224,BU224,BW224,BY224,CA224))</f>
        <v/>
      </c>
      <c r="DD224" s="47">
        <f>IF(C224="","",COUNTIF(AV224:BL224,"Yes"))</f>
        <v/>
      </c>
      <c r="DE224" s="47">
        <f>IF(C224="","",COUNTIF(CV224:CZ224,"Yes"))</f>
        <v/>
      </c>
    </row>
    <row r="225">
      <c r="B225" s="46" t="n"/>
      <c r="G225" s="46" t="n"/>
      <c r="AE225" s="46" t="n"/>
      <c r="AH225" s="46" t="n"/>
      <c r="DB225" s="47">
        <f>IF(C225="","",COUNTA(AI225,AL225,AO225,AR225))</f>
        <v/>
      </c>
      <c r="DC225" s="47">
        <f>IF(C225="","",COUNTA(BM225,BO225,BQ225,BS225,BU225,BW225,BY225,CA225))</f>
        <v/>
      </c>
      <c r="DD225" s="47">
        <f>IF(C225="","",COUNTIF(AV225:BL225,"Yes"))</f>
        <v/>
      </c>
      <c r="DE225" s="47">
        <f>IF(C225="","",COUNTIF(CV225:CZ225,"Yes"))</f>
        <v/>
      </c>
    </row>
    <row r="226">
      <c r="B226" s="46" t="n"/>
      <c r="G226" s="46" t="n"/>
      <c r="AE226" s="46" t="n"/>
      <c r="AH226" s="46" t="n"/>
      <c r="DB226" s="47">
        <f>IF(C226="","",COUNTA(AI226,AL226,AO226,AR226))</f>
        <v/>
      </c>
      <c r="DC226" s="47">
        <f>IF(C226="","",COUNTA(BM226,BO226,BQ226,BS226,BU226,BW226,BY226,CA226))</f>
        <v/>
      </c>
      <c r="DD226" s="47">
        <f>IF(C226="","",COUNTIF(AV226:BL226,"Yes"))</f>
        <v/>
      </c>
      <c r="DE226" s="47">
        <f>IF(C226="","",COUNTIF(CV226:CZ226,"Yes"))</f>
        <v/>
      </c>
    </row>
    <row r="227">
      <c r="B227" s="46" t="n"/>
      <c r="G227" s="46" t="n"/>
      <c r="AE227" s="46" t="n"/>
      <c r="AH227" s="46" t="n"/>
      <c r="DB227" s="47">
        <f>IF(C227="","",COUNTA(AI227,AL227,AO227,AR227))</f>
        <v/>
      </c>
      <c r="DC227" s="47">
        <f>IF(C227="","",COUNTA(BM227,BO227,BQ227,BS227,BU227,BW227,BY227,CA227))</f>
        <v/>
      </c>
      <c r="DD227" s="47">
        <f>IF(C227="","",COUNTIF(AV227:BL227,"Yes"))</f>
        <v/>
      </c>
      <c r="DE227" s="47">
        <f>IF(C227="","",COUNTIF(CV227:CZ227,"Yes"))</f>
        <v/>
      </c>
    </row>
    <row r="228">
      <c r="B228" s="46" t="n"/>
      <c r="G228" s="46" t="n"/>
      <c r="AE228" s="46" t="n"/>
      <c r="AH228" s="46" t="n"/>
      <c r="DB228" s="47">
        <f>IF(C228="","",COUNTA(AI228,AL228,AO228,AR228))</f>
        <v/>
      </c>
      <c r="DC228" s="47">
        <f>IF(C228="","",COUNTA(BM228,BO228,BQ228,BS228,BU228,BW228,BY228,CA228))</f>
        <v/>
      </c>
      <c r="DD228" s="47">
        <f>IF(C228="","",COUNTIF(AV228:BL228,"Yes"))</f>
        <v/>
      </c>
      <c r="DE228" s="47">
        <f>IF(C228="","",COUNTIF(CV228:CZ228,"Yes"))</f>
        <v/>
      </c>
    </row>
    <row r="229">
      <c r="B229" s="46" t="n"/>
      <c r="G229" s="46" t="n"/>
      <c r="AE229" s="46" t="n"/>
      <c r="AH229" s="46" t="n"/>
      <c r="DB229" s="47">
        <f>IF(C229="","",COUNTA(AI229,AL229,AO229,AR229))</f>
        <v/>
      </c>
      <c r="DC229" s="47">
        <f>IF(C229="","",COUNTA(BM229,BO229,BQ229,BS229,BU229,BW229,BY229,CA229))</f>
        <v/>
      </c>
      <c r="DD229" s="47">
        <f>IF(C229="","",COUNTIF(AV229:BL229,"Yes"))</f>
        <v/>
      </c>
      <c r="DE229" s="47">
        <f>IF(C229="","",COUNTIF(CV229:CZ229,"Yes"))</f>
        <v/>
      </c>
    </row>
    <row r="230">
      <c r="B230" s="46" t="n"/>
      <c r="G230" s="46" t="n"/>
      <c r="AE230" s="46" t="n"/>
      <c r="AH230" s="46" t="n"/>
      <c r="DB230" s="47">
        <f>IF(C230="","",COUNTA(AI230,AL230,AO230,AR230))</f>
        <v/>
      </c>
      <c r="DC230" s="47">
        <f>IF(C230="","",COUNTA(BM230,BO230,BQ230,BS230,BU230,BW230,BY230,CA230))</f>
        <v/>
      </c>
      <c r="DD230" s="47">
        <f>IF(C230="","",COUNTIF(AV230:BL230,"Yes"))</f>
        <v/>
      </c>
      <c r="DE230" s="47">
        <f>IF(C230="","",COUNTIF(CV230:CZ230,"Yes"))</f>
        <v/>
      </c>
    </row>
    <row r="231">
      <c r="B231" s="46" t="n"/>
      <c r="G231" s="46" t="n"/>
      <c r="AE231" s="46" t="n"/>
      <c r="AH231" s="46" t="n"/>
      <c r="DB231" s="47">
        <f>IF(C231="","",COUNTA(AI231,AL231,AO231,AR231))</f>
        <v/>
      </c>
      <c r="DC231" s="47">
        <f>IF(C231="","",COUNTA(BM231,BO231,BQ231,BS231,BU231,BW231,BY231,CA231))</f>
        <v/>
      </c>
      <c r="DD231" s="47">
        <f>IF(C231="","",COUNTIF(AV231:BL231,"Yes"))</f>
        <v/>
      </c>
      <c r="DE231" s="47">
        <f>IF(C231="","",COUNTIF(CV231:CZ231,"Yes"))</f>
        <v/>
      </c>
    </row>
    <row r="232">
      <c r="B232" s="46" t="n"/>
      <c r="G232" s="46" t="n"/>
      <c r="AE232" s="46" t="n"/>
      <c r="AH232" s="46" t="n"/>
      <c r="DB232" s="47">
        <f>IF(C232="","",COUNTA(AI232,AL232,AO232,AR232))</f>
        <v/>
      </c>
      <c r="DC232" s="47">
        <f>IF(C232="","",COUNTA(BM232,BO232,BQ232,BS232,BU232,BW232,BY232,CA232))</f>
        <v/>
      </c>
      <c r="DD232" s="47">
        <f>IF(C232="","",COUNTIF(AV232:BL232,"Yes"))</f>
        <v/>
      </c>
      <c r="DE232" s="47">
        <f>IF(C232="","",COUNTIF(CV232:CZ232,"Yes"))</f>
        <v/>
      </c>
    </row>
    <row r="233">
      <c r="B233" s="46" t="n"/>
      <c r="G233" s="46" t="n"/>
      <c r="AE233" s="46" t="n"/>
      <c r="AH233" s="46" t="n"/>
      <c r="DB233" s="47">
        <f>IF(C233="","",COUNTA(AI233,AL233,AO233,AR233))</f>
        <v/>
      </c>
      <c r="DC233" s="47">
        <f>IF(C233="","",COUNTA(BM233,BO233,BQ233,BS233,BU233,BW233,BY233,CA233))</f>
        <v/>
      </c>
      <c r="DD233" s="47">
        <f>IF(C233="","",COUNTIF(AV233:BL233,"Yes"))</f>
        <v/>
      </c>
      <c r="DE233" s="47">
        <f>IF(C233="","",COUNTIF(CV233:CZ233,"Yes"))</f>
        <v/>
      </c>
    </row>
    <row r="234">
      <c r="B234" s="46" t="n"/>
      <c r="G234" s="46" t="n"/>
      <c r="AE234" s="46" t="n"/>
      <c r="AH234" s="46" t="n"/>
      <c r="DB234" s="47">
        <f>IF(C234="","",COUNTA(AI234,AL234,AO234,AR234))</f>
        <v/>
      </c>
      <c r="DC234" s="47">
        <f>IF(C234="","",COUNTA(BM234,BO234,BQ234,BS234,BU234,BW234,BY234,CA234))</f>
        <v/>
      </c>
      <c r="DD234" s="47">
        <f>IF(C234="","",COUNTIF(AV234:BL234,"Yes"))</f>
        <v/>
      </c>
      <c r="DE234" s="47">
        <f>IF(C234="","",COUNTIF(CV234:CZ234,"Yes"))</f>
        <v/>
      </c>
    </row>
    <row r="235">
      <c r="B235" s="46" t="n"/>
      <c r="G235" s="46" t="n"/>
      <c r="AE235" s="46" t="n"/>
      <c r="AH235" s="46" t="n"/>
      <c r="DB235" s="47">
        <f>IF(C235="","",COUNTA(AI235,AL235,AO235,AR235))</f>
        <v/>
      </c>
      <c r="DC235" s="47">
        <f>IF(C235="","",COUNTA(BM235,BO235,BQ235,BS235,BU235,BW235,BY235,CA235))</f>
        <v/>
      </c>
      <c r="DD235" s="47">
        <f>IF(C235="","",COUNTIF(AV235:BL235,"Yes"))</f>
        <v/>
      </c>
      <c r="DE235" s="47">
        <f>IF(C235="","",COUNTIF(CV235:CZ235,"Yes"))</f>
        <v/>
      </c>
    </row>
    <row r="236">
      <c r="B236" s="46" t="n"/>
      <c r="G236" s="46" t="n"/>
      <c r="AE236" s="46" t="n"/>
      <c r="AH236" s="46" t="n"/>
      <c r="DB236" s="47">
        <f>IF(C236="","",COUNTA(AI236,AL236,AO236,AR236))</f>
        <v/>
      </c>
      <c r="DC236" s="47">
        <f>IF(C236="","",COUNTA(BM236,BO236,BQ236,BS236,BU236,BW236,BY236,CA236))</f>
        <v/>
      </c>
      <c r="DD236" s="47">
        <f>IF(C236="","",COUNTIF(AV236:BL236,"Yes"))</f>
        <v/>
      </c>
      <c r="DE236" s="47">
        <f>IF(C236="","",COUNTIF(CV236:CZ236,"Yes"))</f>
        <v/>
      </c>
    </row>
    <row r="237">
      <c r="B237" s="46" t="n"/>
      <c r="G237" s="46" t="n"/>
      <c r="AE237" s="46" t="n"/>
      <c r="AH237" s="46" t="n"/>
      <c r="DB237" s="47">
        <f>IF(C237="","",COUNTA(AI237,AL237,AO237,AR237))</f>
        <v/>
      </c>
      <c r="DC237" s="47">
        <f>IF(C237="","",COUNTA(BM237,BO237,BQ237,BS237,BU237,BW237,BY237,CA237))</f>
        <v/>
      </c>
      <c r="DD237" s="47">
        <f>IF(C237="","",COUNTIF(AV237:BL237,"Yes"))</f>
        <v/>
      </c>
      <c r="DE237" s="47">
        <f>IF(C237="","",COUNTIF(CV237:CZ237,"Yes"))</f>
        <v/>
      </c>
    </row>
    <row r="238">
      <c r="B238" s="46" t="n"/>
      <c r="G238" s="46" t="n"/>
      <c r="AE238" s="46" t="n"/>
      <c r="AH238" s="46" t="n"/>
      <c r="DB238" s="47">
        <f>IF(C238="","",COUNTA(AI238,AL238,AO238,AR238))</f>
        <v/>
      </c>
      <c r="DC238" s="47">
        <f>IF(C238="","",COUNTA(BM238,BO238,BQ238,BS238,BU238,BW238,BY238,CA238))</f>
        <v/>
      </c>
      <c r="DD238" s="47">
        <f>IF(C238="","",COUNTIF(AV238:BL238,"Yes"))</f>
        <v/>
      </c>
      <c r="DE238" s="47">
        <f>IF(C238="","",COUNTIF(CV238:CZ238,"Yes"))</f>
        <v/>
      </c>
    </row>
    <row r="239">
      <c r="B239" s="46" t="n"/>
      <c r="G239" s="46" t="n"/>
      <c r="AE239" s="46" t="n"/>
      <c r="AH239" s="46" t="n"/>
      <c r="DB239" s="47">
        <f>IF(C239="","",COUNTA(AI239,AL239,AO239,AR239))</f>
        <v/>
      </c>
      <c r="DC239" s="47">
        <f>IF(C239="","",COUNTA(BM239,BO239,BQ239,BS239,BU239,BW239,BY239,CA239))</f>
        <v/>
      </c>
      <c r="DD239" s="47">
        <f>IF(C239="","",COUNTIF(AV239:BL239,"Yes"))</f>
        <v/>
      </c>
      <c r="DE239" s="47">
        <f>IF(C239="","",COUNTIF(CV239:CZ239,"Yes"))</f>
        <v/>
      </c>
    </row>
    <row r="240">
      <c r="B240" s="46" t="n"/>
      <c r="G240" s="46" t="n"/>
      <c r="AE240" s="46" t="n"/>
      <c r="AH240" s="46" t="n"/>
      <c r="DB240" s="47">
        <f>IF(C240="","",COUNTA(AI240,AL240,AO240,AR240))</f>
        <v/>
      </c>
      <c r="DC240" s="47">
        <f>IF(C240="","",COUNTA(BM240,BO240,BQ240,BS240,BU240,BW240,BY240,CA240))</f>
        <v/>
      </c>
      <c r="DD240" s="47">
        <f>IF(C240="","",COUNTIF(AV240:BL240,"Yes"))</f>
        <v/>
      </c>
      <c r="DE240" s="47">
        <f>IF(C240="","",COUNTIF(CV240:CZ240,"Yes"))</f>
        <v/>
      </c>
    </row>
    <row r="241">
      <c r="B241" s="46" t="n"/>
      <c r="G241" s="46" t="n"/>
      <c r="AE241" s="46" t="n"/>
      <c r="AH241" s="46" t="n"/>
      <c r="DB241" s="47">
        <f>IF(C241="","",COUNTA(AI241,AL241,AO241,AR241))</f>
        <v/>
      </c>
      <c r="DC241" s="47">
        <f>IF(C241="","",COUNTA(BM241,BO241,BQ241,BS241,BU241,BW241,BY241,CA241))</f>
        <v/>
      </c>
      <c r="DD241" s="47">
        <f>IF(C241="","",COUNTIF(AV241:BL241,"Yes"))</f>
        <v/>
      </c>
      <c r="DE241" s="47">
        <f>IF(C241="","",COUNTIF(CV241:CZ241,"Yes"))</f>
        <v/>
      </c>
    </row>
    <row r="242">
      <c r="B242" s="46" t="n"/>
      <c r="G242" s="46" t="n"/>
      <c r="AE242" s="46" t="n"/>
      <c r="AH242" s="46" t="n"/>
      <c r="DB242" s="47">
        <f>IF(C242="","",COUNTA(AI242,AL242,AO242,AR242))</f>
        <v/>
      </c>
      <c r="DC242" s="47">
        <f>IF(C242="","",COUNTA(BM242,BO242,BQ242,BS242,BU242,BW242,BY242,CA242))</f>
        <v/>
      </c>
      <c r="DD242" s="47">
        <f>IF(C242="","",COUNTIF(AV242:BL242,"Yes"))</f>
        <v/>
      </c>
      <c r="DE242" s="47">
        <f>IF(C242="","",COUNTIF(CV242:CZ242,"Yes"))</f>
        <v/>
      </c>
    </row>
    <row r="243">
      <c r="B243" s="46" t="n"/>
      <c r="G243" s="46" t="n"/>
      <c r="AE243" s="46" t="n"/>
      <c r="AH243" s="46" t="n"/>
      <c r="DB243" s="47">
        <f>IF(C243="","",COUNTA(AI243,AL243,AO243,AR243))</f>
        <v/>
      </c>
      <c r="DC243" s="47">
        <f>IF(C243="","",COUNTA(BM243,BO243,BQ243,BS243,BU243,BW243,BY243,CA243))</f>
        <v/>
      </c>
      <c r="DD243" s="47">
        <f>IF(C243="","",COUNTIF(AV243:BL243,"Yes"))</f>
        <v/>
      </c>
      <c r="DE243" s="47">
        <f>IF(C243="","",COUNTIF(CV243:CZ243,"Yes"))</f>
        <v/>
      </c>
    </row>
    <row r="244">
      <c r="B244" s="46" t="n"/>
      <c r="G244" s="46" t="n"/>
      <c r="AE244" s="46" t="n"/>
      <c r="AH244" s="46" t="n"/>
      <c r="DB244" s="47">
        <f>IF(C244="","",COUNTA(AI244,AL244,AO244,AR244))</f>
        <v/>
      </c>
      <c r="DC244" s="47">
        <f>IF(C244="","",COUNTA(BM244,BO244,BQ244,BS244,BU244,BW244,BY244,CA244))</f>
        <v/>
      </c>
      <c r="DD244" s="47">
        <f>IF(C244="","",COUNTIF(AV244:BL244,"Yes"))</f>
        <v/>
      </c>
      <c r="DE244" s="47">
        <f>IF(C244="","",COUNTIF(CV244:CZ244,"Yes"))</f>
        <v/>
      </c>
    </row>
    <row r="245">
      <c r="B245" s="46" t="n"/>
      <c r="G245" s="46" t="n"/>
      <c r="AE245" s="46" t="n"/>
      <c r="AH245" s="46" t="n"/>
      <c r="DB245" s="47">
        <f>IF(C245="","",COUNTA(AI245,AL245,AO245,AR245))</f>
        <v/>
      </c>
      <c r="DC245" s="47">
        <f>IF(C245="","",COUNTA(BM245,BO245,BQ245,BS245,BU245,BW245,BY245,CA245))</f>
        <v/>
      </c>
      <c r="DD245" s="47">
        <f>IF(C245="","",COUNTIF(AV245:BL245,"Yes"))</f>
        <v/>
      </c>
      <c r="DE245" s="47">
        <f>IF(C245="","",COUNTIF(CV245:CZ245,"Yes"))</f>
        <v/>
      </c>
    </row>
    <row r="246">
      <c r="B246" s="46" t="n"/>
      <c r="G246" s="46" t="n"/>
      <c r="AE246" s="46" t="n"/>
      <c r="AH246" s="46" t="n"/>
      <c r="DB246" s="47">
        <f>IF(C246="","",COUNTA(AI246,AL246,AO246,AR246))</f>
        <v/>
      </c>
      <c r="DC246" s="47">
        <f>IF(C246="","",COUNTA(BM246,BO246,BQ246,BS246,BU246,BW246,BY246,CA246))</f>
        <v/>
      </c>
      <c r="DD246" s="47">
        <f>IF(C246="","",COUNTIF(AV246:BL246,"Yes"))</f>
        <v/>
      </c>
      <c r="DE246" s="47">
        <f>IF(C246="","",COUNTIF(CV246:CZ246,"Yes"))</f>
        <v/>
      </c>
    </row>
    <row r="247">
      <c r="B247" s="46" t="n"/>
      <c r="G247" s="46" t="n"/>
      <c r="AE247" s="46" t="n"/>
      <c r="AH247" s="46" t="n"/>
      <c r="DB247" s="47">
        <f>IF(C247="","",COUNTA(AI247,AL247,AO247,AR247))</f>
        <v/>
      </c>
      <c r="DC247" s="47">
        <f>IF(C247="","",COUNTA(BM247,BO247,BQ247,BS247,BU247,BW247,BY247,CA247))</f>
        <v/>
      </c>
      <c r="DD247" s="47">
        <f>IF(C247="","",COUNTIF(AV247:BL247,"Yes"))</f>
        <v/>
      </c>
      <c r="DE247" s="47">
        <f>IF(C247="","",COUNTIF(CV247:CZ247,"Yes"))</f>
        <v/>
      </c>
    </row>
    <row r="248">
      <c r="B248" s="46" t="n"/>
      <c r="G248" s="46" t="n"/>
      <c r="AE248" s="46" t="n"/>
      <c r="AH248" s="46" t="n"/>
      <c r="DB248" s="47">
        <f>IF(C248="","",COUNTA(AI248,AL248,AO248,AR248))</f>
        <v/>
      </c>
      <c r="DC248" s="47">
        <f>IF(C248="","",COUNTA(BM248,BO248,BQ248,BS248,BU248,BW248,BY248,CA248))</f>
        <v/>
      </c>
      <c r="DD248" s="47">
        <f>IF(C248="","",COUNTIF(AV248:BL248,"Yes"))</f>
        <v/>
      </c>
      <c r="DE248" s="47">
        <f>IF(C248="","",COUNTIF(CV248:CZ248,"Yes"))</f>
        <v/>
      </c>
    </row>
    <row r="249">
      <c r="B249" s="46" t="n"/>
      <c r="G249" s="46" t="n"/>
      <c r="AE249" s="46" t="n"/>
      <c r="AH249" s="46" t="n"/>
      <c r="DB249" s="47">
        <f>IF(C249="","",COUNTA(AI249,AL249,AO249,AR249))</f>
        <v/>
      </c>
      <c r="DC249" s="47">
        <f>IF(C249="","",COUNTA(BM249,BO249,BQ249,BS249,BU249,BW249,BY249,CA249))</f>
        <v/>
      </c>
      <c r="DD249" s="47">
        <f>IF(C249="","",COUNTIF(AV249:BL249,"Yes"))</f>
        <v/>
      </c>
      <c r="DE249" s="47">
        <f>IF(C249="","",COUNTIF(CV249:CZ249,"Yes"))</f>
        <v/>
      </c>
    </row>
    <row r="250">
      <c r="B250" s="46" t="n"/>
      <c r="G250" s="46" t="n"/>
      <c r="AE250" s="46" t="n"/>
      <c r="AH250" s="46" t="n"/>
      <c r="DB250" s="47">
        <f>IF(C250="","",COUNTA(AI250,AL250,AO250,AR250))</f>
        <v/>
      </c>
      <c r="DC250" s="47">
        <f>IF(C250="","",COUNTA(BM250,BO250,BQ250,BS250,BU250,BW250,BY250,CA250))</f>
        <v/>
      </c>
      <c r="DD250" s="47">
        <f>IF(C250="","",COUNTIF(AV250:BL250,"Yes"))</f>
        <v/>
      </c>
      <c r="DE250" s="47">
        <f>IF(C250="","",COUNTIF(CV250:CZ250,"Yes"))</f>
        <v/>
      </c>
    </row>
    <row r="251">
      <c r="B251" s="46" t="n"/>
      <c r="G251" s="46" t="n"/>
      <c r="AE251" s="46" t="n"/>
      <c r="AH251" s="46" t="n"/>
      <c r="DB251" s="47">
        <f>IF(C251="","",COUNTA(AI251,AL251,AO251,AR251))</f>
        <v/>
      </c>
      <c r="DC251" s="47">
        <f>IF(C251="","",COUNTA(BM251,BO251,BQ251,BS251,BU251,BW251,BY251,CA251))</f>
        <v/>
      </c>
      <c r="DD251" s="47">
        <f>IF(C251="","",COUNTIF(AV251:BL251,"Yes"))</f>
        <v/>
      </c>
      <c r="DE251" s="47">
        <f>IF(C251="","",COUNTIF(CV251:CZ251,"Yes"))</f>
        <v/>
      </c>
    </row>
    <row r="252">
      <c r="B252" s="46" t="n"/>
      <c r="G252" s="46" t="n"/>
      <c r="AE252" s="46" t="n"/>
      <c r="AH252" s="46" t="n"/>
      <c r="DB252" s="47">
        <f>IF(C252="","",COUNTA(AI252,AL252,AO252,AR252))</f>
        <v/>
      </c>
      <c r="DC252" s="47">
        <f>IF(C252="","",COUNTA(BM252,BO252,BQ252,BS252,BU252,BW252,BY252,CA252))</f>
        <v/>
      </c>
      <c r="DD252" s="47">
        <f>IF(C252="","",COUNTIF(AV252:BL252,"Yes"))</f>
        <v/>
      </c>
      <c r="DE252" s="47">
        <f>IF(C252="","",COUNTIF(CV252:CZ252,"Yes"))</f>
        <v/>
      </c>
    </row>
    <row r="253">
      <c r="B253" s="46" t="n"/>
      <c r="G253" s="46" t="n"/>
      <c r="AE253" s="46" t="n"/>
      <c r="AH253" s="46" t="n"/>
      <c r="DB253" s="47">
        <f>IF(C253="","",COUNTA(AI253,AL253,AO253,AR253))</f>
        <v/>
      </c>
      <c r="DC253" s="47">
        <f>IF(C253="","",COUNTA(BM253,BO253,BQ253,BS253,BU253,BW253,BY253,CA253))</f>
        <v/>
      </c>
      <c r="DD253" s="47">
        <f>IF(C253="","",COUNTIF(AV253:BL253,"Yes"))</f>
        <v/>
      </c>
      <c r="DE253" s="47">
        <f>IF(C253="","",COUNTIF(CV253:CZ253,"Yes"))</f>
        <v/>
      </c>
    </row>
    <row r="254">
      <c r="B254" s="46" t="n"/>
      <c r="G254" s="46" t="n"/>
      <c r="AE254" s="46" t="n"/>
      <c r="AH254" s="46" t="n"/>
      <c r="DB254" s="47">
        <f>IF(C254="","",COUNTA(AI254,AL254,AO254,AR254))</f>
        <v/>
      </c>
      <c r="DC254" s="47">
        <f>IF(C254="","",COUNTA(BM254,BO254,BQ254,BS254,BU254,BW254,BY254,CA254))</f>
        <v/>
      </c>
      <c r="DD254" s="47">
        <f>IF(C254="","",COUNTIF(AV254:BL254,"Yes"))</f>
        <v/>
      </c>
      <c r="DE254" s="47">
        <f>IF(C254="","",COUNTIF(CV254:CZ254,"Yes"))</f>
        <v/>
      </c>
    </row>
    <row r="255">
      <c r="B255" s="46" t="n"/>
      <c r="G255" s="46" t="n"/>
      <c r="AE255" s="46" t="n"/>
      <c r="AH255" s="46" t="n"/>
      <c r="DB255" s="47">
        <f>IF(C255="","",COUNTA(AI255,AL255,AO255,AR255))</f>
        <v/>
      </c>
      <c r="DC255" s="47">
        <f>IF(C255="","",COUNTA(BM255,BO255,BQ255,BS255,BU255,BW255,BY255,CA255))</f>
        <v/>
      </c>
      <c r="DD255" s="47">
        <f>IF(C255="","",COUNTIF(AV255:BL255,"Yes"))</f>
        <v/>
      </c>
      <c r="DE255" s="47">
        <f>IF(C255="","",COUNTIF(CV255:CZ255,"Yes"))</f>
        <v/>
      </c>
    </row>
    <row r="256">
      <c r="B256" s="46" t="n"/>
      <c r="G256" s="46" t="n"/>
      <c r="AE256" s="46" t="n"/>
      <c r="AH256" s="46" t="n"/>
      <c r="DB256" s="47">
        <f>IF(C256="","",COUNTA(AI256,AL256,AO256,AR256))</f>
        <v/>
      </c>
      <c r="DC256" s="47">
        <f>IF(C256="","",COUNTA(BM256,BO256,BQ256,BS256,BU256,BW256,BY256,CA256))</f>
        <v/>
      </c>
      <c r="DD256" s="47">
        <f>IF(C256="","",COUNTIF(AV256:BL256,"Yes"))</f>
        <v/>
      </c>
      <c r="DE256" s="47">
        <f>IF(C256="","",COUNTIF(CV256:CZ256,"Yes"))</f>
        <v/>
      </c>
    </row>
    <row r="257">
      <c r="B257" s="46" t="n"/>
      <c r="G257" s="46" t="n"/>
      <c r="AE257" s="46" t="n"/>
      <c r="AH257" s="46" t="n"/>
      <c r="DB257" s="47">
        <f>IF(C257="","",COUNTA(AI257,AL257,AO257,AR257))</f>
        <v/>
      </c>
      <c r="DC257" s="47">
        <f>IF(C257="","",COUNTA(BM257,BO257,BQ257,BS257,BU257,BW257,BY257,CA257))</f>
        <v/>
      </c>
      <c r="DD257" s="47">
        <f>IF(C257="","",COUNTIF(AV257:BL257,"Yes"))</f>
        <v/>
      </c>
      <c r="DE257" s="47">
        <f>IF(C257="","",COUNTIF(CV257:CZ257,"Yes"))</f>
        <v/>
      </c>
    </row>
    <row r="258">
      <c r="B258" s="46" t="n"/>
      <c r="G258" s="46" t="n"/>
      <c r="AE258" s="46" t="n"/>
      <c r="AH258" s="46" t="n"/>
      <c r="DB258" s="47">
        <f>IF(C258="","",COUNTA(AI258,AL258,AO258,AR258))</f>
        <v/>
      </c>
      <c r="DC258" s="47">
        <f>IF(C258="","",COUNTA(BM258,BO258,BQ258,BS258,BU258,BW258,BY258,CA258))</f>
        <v/>
      </c>
      <c r="DD258" s="47">
        <f>IF(C258="","",COUNTIF(AV258:BL258,"Yes"))</f>
        <v/>
      </c>
      <c r="DE258" s="47">
        <f>IF(C258="","",COUNTIF(CV258:CZ258,"Yes"))</f>
        <v/>
      </c>
    </row>
    <row r="259">
      <c r="B259" s="46" t="n"/>
      <c r="G259" s="46" t="n"/>
      <c r="AE259" s="46" t="n"/>
      <c r="AH259" s="46" t="n"/>
      <c r="DB259" s="47">
        <f>IF(C259="","",COUNTA(AI259,AL259,AO259,AR259))</f>
        <v/>
      </c>
      <c r="DC259" s="47">
        <f>IF(C259="","",COUNTA(BM259,BO259,BQ259,BS259,BU259,BW259,BY259,CA259))</f>
        <v/>
      </c>
      <c r="DD259" s="47">
        <f>IF(C259="","",COUNTIF(AV259:BL259,"Yes"))</f>
        <v/>
      </c>
      <c r="DE259" s="47">
        <f>IF(C259="","",COUNTIF(CV259:CZ259,"Yes"))</f>
        <v/>
      </c>
    </row>
    <row r="260">
      <c r="B260" s="46" t="n"/>
      <c r="G260" s="46" t="n"/>
      <c r="AE260" s="46" t="n"/>
      <c r="AH260" s="46" t="n"/>
      <c r="DB260" s="47">
        <f>IF(C260="","",COUNTA(AI260,AL260,AO260,AR260))</f>
        <v/>
      </c>
      <c r="DC260" s="47">
        <f>IF(C260="","",COUNTA(BM260,BO260,BQ260,BS260,BU260,BW260,BY260,CA260))</f>
        <v/>
      </c>
      <c r="DD260" s="47">
        <f>IF(C260="","",COUNTIF(AV260:BL260,"Yes"))</f>
        <v/>
      </c>
      <c r="DE260" s="47">
        <f>IF(C260="","",COUNTIF(CV260:CZ260,"Yes"))</f>
        <v/>
      </c>
    </row>
    <row r="261">
      <c r="B261" s="46" t="n"/>
      <c r="G261" s="46" t="n"/>
      <c r="AE261" s="46" t="n"/>
      <c r="AH261" s="46" t="n"/>
      <c r="DB261" s="47">
        <f>IF(C261="","",COUNTA(AI261,AL261,AO261,AR261))</f>
        <v/>
      </c>
      <c r="DC261" s="47">
        <f>IF(C261="","",COUNTA(BM261,BO261,BQ261,BS261,BU261,BW261,BY261,CA261))</f>
        <v/>
      </c>
      <c r="DD261" s="47">
        <f>IF(C261="","",COUNTIF(AV261:BL261,"Yes"))</f>
        <v/>
      </c>
      <c r="DE261" s="47">
        <f>IF(C261="","",COUNTIF(CV261:CZ261,"Yes"))</f>
        <v/>
      </c>
    </row>
    <row r="262">
      <c r="B262" s="46" t="n"/>
      <c r="G262" s="46" t="n"/>
      <c r="AE262" s="46" t="n"/>
      <c r="AH262" s="46" t="n"/>
      <c r="DB262" s="47">
        <f>IF(C262="","",COUNTA(AI262,AL262,AO262,AR262))</f>
        <v/>
      </c>
      <c r="DC262" s="47">
        <f>IF(C262="","",COUNTA(BM262,BO262,BQ262,BS262,BU262,BW262,BY262,CA262))</f>
        <v/>
      </c>
      <c r="DD262" s="47">
        <f>IF(C262="","",COUNTIF(AV262:BL262,"Yes"))</f>
        <v/>
      </c>
      <c r="DE262" s="47">
        <f>IF(C262="","",COUNTIF(CV262:CZ262,"Yes"))</f>
        <v/>
      </c>
    </row>
    <row r="263">
      <c r="B263" s="46" t="n"/>
      <c r="G263" s="46" t="n"/>
      <c r="AE263" s="46" t="n"/>
      <c r="AH263" s="46" t="n"/>
      <c r="DB263" s="47">
        <f>IF(C263="","",COUNTA(AI263,AL263,AO263,AR263))</f>
        <v/>
      </c>
      <c r="DC263" s="47">
        <f>IF(C263="","",COUNTA(BM263,BO263,BQ263,BS263,BU263,BW263,BY263,CA263))</f>
        <v/>
      </c>
      <c r="DD263" s="47">
        <f>IF(C263="","",COUNTIF(AV263:BL263,"Yes"))</f>
        <v/>
      </c>
      <c r="DE263" s="47">
        <f>IF(C263="","",COUNTIF(CV263:CZ263,"Yes"))</f>
        <v/>
      </c>
    </row>
    <row r="264">
      <c r="B264" s="46" t="n"/>
      <c r="G264" s="46" t="n"/>
      <c r="AE264" s="46" t="n"/>
      <c r="AH264" s="46" t="n"/>
      <c r="DB264" s="47">
        <f>IF(C264="","",COUNTA(AI264,AL264,AO264,AR264))</f>
        <v/>
      </c>
      <c r="DC264" s="47">
        <f>IF(C264="","",COUNTA(BM264,BO264,BQ264,BS264,BU264,BW264,BY264,CA264))</f>
        <v/>
      </c>
      <c r="DD264" s="47">
        <f>IF(C264="","",COUNTIF(AV264:BL264,"Yes"))</f>
        <v/>
      </c>
      <c r="DE264" s="47">
        <f>IF(C264="","",COUNTIF(CV264:CZ264,"Yes"))</f>
        <v/>
      </c>
    </row>
    <row r="265">
      <c r="B265" s="46" t="n"/>
      <c r="G265" s="46" t="n"/>
      <c r="AE265" s="46" t="n"/>
      <c r="AH265" s="46" t="n"/>
      <c r="DB265" s="47">
        <f>IF(C265="","",COUNTA(AI265,AL265,AO265,AR265))</f>
        <v/>
      </c>
      <c r="DC265" s="47">
        <f>IF(C265="","",COUNTA(BM265,BO265,BQ265,BS265,BU265,BW265,BY265,CA265))</f>
        <v/>
      </c>
      <c r="DD265" s="47">
        <f>IF(C265="","",COUNTIF(AV265:BL265,"Yes"))</f>
        <v/>
      </c>
      <c r="DE265" s="47">
        <f>IF(C265="","",COUNTIF(CV265:CZ265,"Yes"))</f>
        <v/>
      </c>
    </row>
    <row r="266">
      <c r="B266" s="46" t="n"/>
      <c r="G266" s="46" t="n"/>
      <c r="AE266" s="46" t="n"/>
      <c r="AH266" s="46" t="n"/>
      <c r="DB266" s="47">
        <f>IF(C266="","",COUNTA(AI266,AL266,AO266,AR266))</f>
        <v/>
      </c>
      <c r="DC266" s="47">
        <f>IF(C266="","",COUNTA(BM266,BO266,BQ266,BS266,BU266,BW266,BY266,CA266))</f>
        <v/>
      </c>
      <c r="DD266" s="47">
        <f>IF(C266="","",COUNTIF(AV266:BL266,"Yes"))</f>
        <v/>
      </c>
      <c r="DE266" s="47">
        <f>IF(C266="","",COUNTIF(CV266:CZ266,"Yes"))</f>
        <v/>
      </c>
    </row>
    <row r="267">
      <c r="B267" s="46" t="n"/>
      <c r="G267" s="46" t="n"/>
      <c r="AE267" s="46" t="n"/>
      <c r="AH267" s="46" t="n"/>
      <c r="DB267" s="47">
        <f>IF(C267="","",COUNTA(AI267,AL267,AO267,AR267))</f>
        <v/>
      </c>
      <c r="DC267" s="47">
        <f>IF(C267="","",COUNTA(BM267,BO267,BQ267,BS267,BU267,BW267,BY267,CA267))</f>
        <v/>
      </c>
      <c r="DD267" s="47">
        <f>IF(C267="","",COUNTIF(AV267:BL267,"Yes"))</f>
        <v/>
      </c>
      <c r="DE267" s="47">
        <f>IF(C267="","",COUNTIF(CV267:CZ267,"Yes"))</f>
        <v/>
      </c>
    </row>
    <row r="268">
      <c r="B268" s="46" t="n"/>
      <c r="G268" s="46" t="n"/>
      <c r="AE268" s="46" t="n"/>
      <c r="AH268" s="46" t="n"/>
      <c r="DB268" s="47">
        <f>IF(C268="","",COUNTA(AI268,AL268,AO268,AR268))</f>
        <v/>
      </c>
      <c r="DC268" s="47">
        <f>IF(C268="","",COUNTA(BM268,BO268,BQ268,BS268,BU268,BW268,BY268,CA268))</f>
        <v/>
      </c>
      <c r="DD268" s="47">
        <f>IF(C268="","",COUNTIF(AV268:BL268,"Yes"))</f>
        <v/>
      </c>
      <c r="DE268" s="47">
        <f>IF(C268="","",COUNTIF(CV268:CZ268,"Yes"))</f>
        <v/>
      </c>
    </row>
    <row r="269">
      <c r="B269" s="46" t="n"/>
      <c r="G269" s="46" t="n"/>
      <c r="AE269" s="46" t="n"/>
      <c r="AH269" s="46" t="n"/>
      <c r="DB269" s="47">
        <f>IF(C269="","",COUNTA(AI269,AL269,AO269,AR269))</f>
        <v/>
      </c>
      <c r="DC269" s="47">
        <f>IF(C269="","",COUNTA(BM269,BO269,BQ269,BS269,BU269,BW269,BY269,CA269))</f>
        <v/>
      </c>
      <c r="DD269" s="47">
        <f>IF(C269="","",COUNTIF(AV269:BL269,"Yes"))</f>
        <v/>
      </c>
      <c r="DE269" s="47">
        <f>IF(C269="","",COUNTIF(CV269:CZ269,"Yes"))</f>
        <v/>
      </c>
    </row>
    <row r="270">
      <c r="B270" s="46" t="n"/>
      <c r="G270" s="46" t="n"/>
      <c r="AE270" s="46" t="n"/>
      <c r="AH270" s="46" t="n"/>
      <c r="DB270" s="47">
        <f>IF(C270="","",COUNTA(AI270,AL270,AO270,AR270))</f>
        <v/>
      </c>
      <c r="DC270" s="47">
        <f>IF(C270="","",COUNTA(BM270,BO270,BQ270,BS270,BU270,BW270,BY270,CA270))</f>
        <v/>
      </c>
      <c r="DD270" s="47">
        <f>IF(C270="","",COUNTIF(AV270:BL270,"Yes"))</f>
        <v/>
      </c>
      <c r="DE270" s="47">
        <f>IF(C270="","",COUNTIF(CV270:CZ270,"Yes"))</f>
        <v/>
      </c>
    </row>
    <row r="271">
      <c r="B271" s="46" t="n"/>
      <c r="G271" s="46" t="n"/>
      <c r="AE271" s="46" t="n"/>
      <c r="AH271" s="46" t="n"/>
      <c r="DB271" s="47">
        <f>IF(C271="","",COUNTA(AI271,AL271,AO271,AR271))</f>
        <v/>
      </c>
      <c r="DC271" s="47">
        <f>IF(C271="","",COUNTA(BM271,BO271,BQ271,BS271,BU271,BW271,BY271,CA271))</f>
        <v/>
      </c>
      <c r="DD271" s="47">
        <f>IF(C271="","",COUNTIF(AV271:BL271,"Yes"))</f>
        <v/>
      </c>
      <c r="DE271" s="47">
        <f>IF(C271="","",COUNTIF(CV271:CZ271,"Yes"))</f>
        <v/>
      </c>
    </row>
    <row r="272">
      <c r="B272" s="46" t="n"/>
      <c r="G272" s="46" t="n"/>
      <c r="AE272" s="46" t="n"/>
      <c r="AH272" s="46" t="n"/>
      <c r="DB272" s="47">
        <f>IF(C272="","",COUNTA(AI272,AL272,AO272,AR272))</f>
        <v/>
      </c>
      <c r="DC272" s="47">
        <f>IF(C272="","",COUNTA(BM272,BO272,BQ272,BS272,BU272,BW272,BY272,CA272))</f>
        <v/>
      </c>
      <c r="DD272" s="47">
        <f>IF(C272="","",COUNTIF(AV272:BL272,"Yes"))</f>
        <v/>
      </c>
      <c r="DE272" s="47">
        <f>IF(C272="","",COUNTIF(CV272:CZ272,"Yes"))</f>
        <v/>
      </c>
    </row>
    <row r="273">
      <c r="B273" s="46" t="n"/>
      <c r="G273" s="46" t="n"/>
      <c r="AE273" s="46" t="n"/>
      <c r="AH273" s="46" t="n"/>
      <c r="DB273" s="47">
        <f>IF(C273="","",COUNTA(AI273,AL273,AO273,AR273))</f>
        <v/>
      </c>
      <c r="DC273" s="47">
        <f>IF(C273="","",COUNTA(BM273,BO273,BQ273,BS273,BU273,BW273,BY273,CA273))</f>
        <v/>
      </c>
      <c r="DD273" s="47">
        <f>IF(C273="","",COUNTIF(AV273:BL273,"Yes"))</f>
        <v/>
      </c>
      <c r="DE273" s="47">
        <f>IF(C273="","",COUNTIF(CV273:CZ273,"Yes"))</f>
        <v/>
      </c>
    </row>
    <row r="274">
      <c r="B274" s="46" t="n"/>
      <c r="G274" s="46" t="n"/>
      <c r="AE274" s="46" t="n"/>
      <c r="AH274" s="46" t="n"/>
      <c r="DB274" s="47">
        <f>IF(C274="","",COUNTA(AI274,AL274,AO274,AR274))</f>
        <v/>
      </c>
      <c r="DC274" s="47">
        <f>IF(C274="","",COUNTA(BM274,BO274,BQ274,BS274,BU274,BW274,BY274,CA274))</f>
        <v/>
      </c>
      <c r="DD274" s="47">
        <f>IF(C274="","",COUNTIF(AV274:BL274,"Yes"))</f>
        <v/>
      </c>
      <c r="DE274" s="47">
        <f>IF(C274="","",COUNTIF(CV274:CZ274,"Yes"))</f>
        <v/>
      </c>
    </row>
    <row r="275">
      <c r="B275" s="46" t="n"/>
      <c r="G275" s="46" t="n"/>
      <c r="AE275" s="46" t="n"/>
      <c r="AH275" s="46" t="n"/>
      <c r="DB275" s="47">
        <f>IF(C275="","",COUNTA(AI275,AL275,AO275,AR275))</f>
        <v/>
      </c>
      <c r="DC275" s="47">
        <f>IF(C275="","",COUNTA(BM275,BO275,BQ275,BS275,BU275,BW275,BY275,CA275))</f>
        <v/>
      </c>
      <c r="DD275" s="47">
        <f>IF(C275="","",COUNTIF(AV275:BL275,"Yes"))</f>
        <v/>
      </c>
      <c r="DE275" s="47">
        <f>IF(C275="","",COUNTIF(CV275:CZ275,"Yes"))</f>
        <v/>
      </c>
    </row>
    <row r="276">
      <c r="B276" s="46" t="n"/>
      <c r="G276" s="46" t="n"/>
      <c r="AE276" s="46" t="n"/>
      <c r="AH276" s="46" t="n"/>
      <c r="DB276" s="47">
        <f>IF(C276="","",COUNTA(AI276,AL276,AO276,AR276))</f>
        <v/>
      </c>
      <c r="DC276" s="47">
        <f>IF(C276="","",COUNTA(BM276,BO276,BQ276,BS276,BU276,BW276,BY276,CA276))</f>
        <v/>
      </c>
      <c r="DD276" s="47">
        <f>IF(C276="","",COUNTIF(AV276:BL276,"Yes"))</f>
        <v/>
      </c>
      <c r="DE276" s="47">
        <f>IF(C276="","",COUNTIF(CV276:CZ276,"Yes"))</f>
        <v/>
      </c>
    </row>
    <row r="277">
      <c r="B277" s="46" t="n"/>
      <c r="G277" s="46" t="n"/>
      <c r="AE277" s="46" t="n"/>
      <c r="AH277" s="46" t="n"/>
      <c r="DB277" s="47">
        <f>IF(C277="","",COUNTA(AI277,AL277,AO277,AR277))</f>
        <v/>
      </c>
      <c r="DC277" s="47">
        <f>IF(C277="","",COUNTA(BM277,BO277,BQ277,BS277,BU277,BW277,BY277,CA277))</f>
        <v/>
      </c>
      <c r="DD277" s="47">
        <f>IF(C277="","",COUNTIF(AV277:BL277,"Yes"))</f>
        <v/>
      </c>
      <c r="DE277" s="47">
        <f>IF(C277="","",COUNTIF(CV277:CZ277,"Yes"))</f>
        <v/>
      </c>
    </row>
    <row r="278">
      <c r="B278" s="46" t="n"/>
      <c r="G278" s="46" t="n"/>
      <c r="AE278" s="46" t="n"/>
      <c r="AH278" s="46" t="n"/>
      <c r="DB278" s="47">
        <f>IF(C278="","",COUNTA(AI278,AL278,AO278,AR278))</f>
        <v/>
      </c>
      <c r="DC278" s="47">
        <f>IF(C278="","",COUNTA(BM278,BO278,BQ278,BS278,BU278,BW278,BY278,CA278))</f>
        <v/>
      </c>
      <c r="DD278" s="47">
        <f>IF(C278="","",COUNTIF(AV278:BL278,"Yes"))</f>
        <v/>
      </c>
      <c r="DE278" s="47">
        <f>IF(C278="","",COUNTIF(CV278:CZ278,"Yes"))</f>
        <v/>
      </c>
    </row>
    <row r="279">
      <c r="B279" s="46" t="n"/>
      <c r="G279" s="46" t="n"/>
      <c r="AE279" s="46" t="n"/>
      <c r="AH279" s="46" t="n"/>
      <c r="DB279" s="47">
        <f>IF(C279="","",COUNTA(AI279,AL279,AO279,AR279))</f>
        <v/>
      </c>
      <c r="DC279" s="47">
        <f>IF(C279="","",COUNTA(BM279,BO279,BQ279,BS279,BU279,BW279,BY279,CA279))</f>
        <v/>
      </c>
      <c r="DD279" s="47">
        <f>IF(C279="","",COUNTIF(AV279:BL279,"Yes"))</f>
        <v/>
      </c>
      <c r="DE279" s="47">
        <f>IF(C279="","",COUNTIF(CV279:CZ279,"Yes"))</f>
        <v/>
      </c>
    </row>
    <row r="280">
      <c r="B280" s="46" t="n"/>
      <c r="G280" s="46" t="n"/>
      <c r="AE280" s="46" t="n"/>
      <c r="AH280" s="46" t="n"/>
      <c r="DB280" s="47">
        <f>IF(C280="","",COUNTA(AI280,AL280,AO280,AR280))</f>
        <v/>
      </c>
      <c r="DC280" s="47">
        <f>IF(C280="","",COUNTA(BM280,BO280,BQ280,BS280,BU280,BW280,BY280,CA280))</f>
        <v/>
      </c>
      <c r="DD280" s="47">
        <f>IF(C280="","",COUNTIF(AV280:BL280,"Yes"))</f>
        <v/>
      </c>
      <c r="DE280" s="47">
        <f>IF(C280="","",COUNTIF(CV280:CZ280,"Yes"))</f>
        <v/>
      </c>
    </row>
    <row r="281">
      <c r="B281" s="46" t="n"/>
      <c r="G281" s="46" t="n"/>
      <c r="AE281" s="46" t="n"/>
      <c r="AH281" s="46" t="n"/>
      <c r="DB281" s="47">
        <f>IF(C281="","",COUNTA(AI281,AL281,AO281,AR281))</f>
        <v/>
      </c>
      <c r="DC281" s="47">
        <f>IF(C281="","",COUNTA(BM281,BO281,BQ281,BS281,BU281,BW281,BY281,CA281))</f>
        <v/>
      </c>
      <c r="DD281" s="47">
        <f>IF(C281="","",COUNTIF(AV281:BL281,"Yes"))</f>
        <v/>
      </c>
      <c r="DE281" s="47">
        <f>IF(C281="","",COUNTIF(CV281:CZ281,"Yes"))</f>
        <v/>
      </c>
    </row>
    <row r="282">
      <c r="B282" s="46" t="n"/>
      <c r="G282" s="46" t="n"/>
      <c r="AE282" s="46" t="n"/>
      <c r="AH282" s="46" t="n"/>
      <c r="DB282" s="47">
        <f>IF(C282="","",COUNTA(AI282,AL282,AO282,AR282))</f>
        <v/>
      </c>
      <c r="DC282" s="47">
        <f>IF(C282="","",COUNTA(BM282,BO282,BQ282,BS282,BU282,BW282,BY282,CA282))</f>
        <v/>
      </c>
      <c r="DD282" s="47">
        <f>IF(C282="","",COUNTIF(AV282:BL282,"Yes"))</f>
        <v/>
      </c>
      <c r="DE282" s="47">
        <f>IF(C282="","",COUNTIF(CV282:CZ282,"Yes"))</f>
        <v/>
      </c>
    </row>
    <row r="283">
      <c r="B283" s="46" t="n"/>
      <c r="G283" s="46" t="n"/>
      <c r="AE283" s="46" t="n"/>
      <c r="AH283" s="46" t="n"/>
      <c r="DB283" s="47">
        <f>IF(C283="","",COUNTA(AI283,AL283,AO283,AR283))</f>
        <v/>
      </c>
      <c r="DC283" s="47">
        <f>IF(C283="","",COUNTA(BM283,BO283,BQ283,BS283,BU283,BW283,BY283,CA283))</f>
        <v/>
      </c>
      <c r="DD283" s="47">
        <f>IF(C283="","",COUNTIF(AV283:BL283,"Yes"))</f>
        <v/>
      </c>
      <c r="DE283" s="47">
        <f>IF(C283="","",COUNTIF(CV283:CZ283,"Yes"))</f>
        <v/>
      </c>
    </row>
    <row r="284">
      <c r="B284" s="46" t="n"/>
      <c r="G284" s="46" t="n"/>
      <c r="AE284" s="46" t="n"/>
      <c r="AH284" s="46" t="n"/>
      <c r="DB284" s="47">
        <f>IF(C284="","",COUNTA(AI284,AL284,AO284,AR284))</f>
        <v/>
      </c>
      <c r="DC284" s="47">
        <f>IF(C284="","",COUNTA(BM284,BO284,BQ284,BS284,BU284,BW284,BY284,CA284))</f>
        <v/>
      </c>
      <c r="DD284" s="47">
        <f>IF(C284="","",COUNTIF(AV284:BL284,"Yes"))</f>
        <v/>
      </c>
      <c r="DE284" s="47">
        <f>IF(C284="","",COUNTIF(CV284:CZ284,"Yes"))</f>
        <v/>
      </c>
    </row>
    <row r="285">
      <c r="B285" s="46" t="n"/>
      <c r="G285" s="46" t="n"/>
      <c r="AE285" s="46" t="n"/>
      <c r="AH285" s="46" t="n"/>
      <c r="DB285" s="47">
        <f>IF(C285="","",COUNTA(AI285,AL285,AO285,AR285))</f>
        <v/>
      </c>
      <c r="DC285" s="47">
        <f>IF(C285="","",COUNTA(BM285,BO285,BQ285,BS285,BU285,BW285,BY285,CA285))</f>
        <v/>
      </c>
      <c r="DD285" s="47">
        <f>IF(C285="","",COUNTIF(AV285:BL285,"Yes"))</f>
        <v/>
      </c>
      <c r="DE285" s="47">
        <f>IF(C285="","",COUNTIF(CV285:CZ285,"Yes"))</f>
        <v/>
      </c>
    </row>
    <row r="286">
      <c r="B286" s="46" t="n"/>
      <c r="G286" s="46" t="n"/>
      <c r="AE286" s="46" t="n"/>
      <c r="AH286" s="46" t="n"/>
      <c r="DB286" s="47">
        <f>IF(C286="","",COUNTA(AI286,AL286,AO286,AR286))</f>
        <v/>
      </c>
      <c r="DC286" s="47">
        <f>IF(C286="","",COUNTA(BM286,BO286,BQ286,BS286,BU286,BW286,BY286,CA286))</f>
        <v/>
      </c>
      <c r="DD286" s="47">
        <f>IF(C286="","",COUNTIF(AV286:BL286,"Yes"))</f>
        <v/>
      </c>
      <c r="DE286" s="47">
        <f>IF(C286="","",COUNTIF(CV286:CZ286,"Yes"))</f>
        <v/>
      </c>
    </row>
    <row r="287">
      <c r="B287" s="46" t="n"/>
      <c r="G287" s="46" t="n"/>
      <c r="AE287" s="46" t="n"/>
      <c r="AH287" s="46" t="n"/>
      <c r="DB287" s="47">
        <f>IF(C287="","",COUNTA(AI287,AL287,AO287,AR287))</f>
        <v/>
      </c>
      <c r="DC287" s="47">
        <f>IF(C287="","",COUNTA(BM287,BO287,BQ287,BS287,BU287,BW287,BY287,CA287))</f>
        <v/>
      </c>
      <c r="DD287" s="47">
        <f>IF(C287="","",COUNTIF(AV287:BL287,"Yes"))</f>
        <v/>
      </c>
      <c r="DE287" s="47">
        <f>IF(C287="","",COUNTIF(CV287:CZ287,"Yes"))</f>
        <v/>
      </c>
    </row>
    <row r="288">
      <c r="B288" s="46" t="n"/>
      <c r="G288" s="46" t="n"/>
      <c r="AE288" s="46" t="n"/>
      <c r="AH288" s="46" t="n"/>
      <c r="DB288" s="47">
        <f>IF(C288="","",COUNTA(AI288,AL288,AO288,AR288))</f>
        <v/>
      </c>
      <c r="DC288" s="47">
        <f>IF(C288="","",COUNTA(BM288,BO288,BQ288,BS288,BU288,BW288,BY288,CA288))</f>
        <v/>
      </c>
      <c r="DD288" s="47">
        <f>IF(C288="","",COUNTIF(AV288:BL288,"Yes"))</f>
        <v/>
      </c>
      <c r="DE288" s="47">
        <f>IF(C288="","",COUNTIF(CV288:CZ288,"Yes"))</f>
        <v/>
      </c>
    </row>
    <row r="289">
      <c r="B289" s="46" t="n"/>
      <c r="G289" s="46" t="n"/>
      <c r="AE289" s="46" t="n"/>
      <c r="AH289" s="46" t="n"/>
      <c r="DB289" s="47">
        <f>IF(C289="","",COUNTA(AI289,AL289,AO289,AR289))</f>
        <v/>
      </c>
      <c r="DC289" s="47">
        <f>IF(C289="","",COUNTA(BM289,BO289,BQ289,BS289,BU289,BW289,BY289,CA289))</f>
        <v/>
      </c>
      <c r="DD289" s="47">
        <f>IF(C289="","",COUNTIF(AV289:BL289,"Yes"))</f>
        <v/>
      </c>
      <c r="DE289" s="47">
        <f>IF(C289="","",COUNTIF(CV289:CZ289,"Yes"))</f>
        <v/>
      </c>
    </row>
    <row r="290">
      <c r="B290" s="46" t="n"/>
      <c r="G290" s="46" t="n"/>
      <c r="AE290" s="46" t="n"/>
      <c r="AH290" s="46" t="n"/>
      <c r="DB290" s="47">
        <f>IF(C290="","",COUNTA(AI290,AL290,AO290,AR290))</f>
        <v/>
      </c>
      <c r="DC290" s="47">
        <f>IF(C290="","",COUNTA(BM290,BO290,BQ290,BS290,BU290,BW290,BY290,CA290))</f>
        <v/>
      </c>
      <c r="DD290" s="47">
        <f>IF(C290="","",COUNTIF(AV290:BL290,"Yes"))</f>
        <v/>
      </c>
      <c r="DE290" s="47">
        <f>IF(C290="","",COUNTIF(CV290:CZ290,"Yes"))</f>
        <v/>
      </c>
    </row>
    <row r="291">
      <c r="B291" s="46" t="n"/>
      <c r="G291" s="46" t="n"/>
      <c r="AE291" s="46" t="n"/>
      <c r="AH291" s="46" t="n"/>
      <c r="DB291" s="47">
        <f>IF(C291="","",COUNTA(AI291,AL291,AO291,AR291))</f>
        <v/>
      </c>
      <c r="DC291" s="47">
        <f>IF(C291="","",COUNTA(BM291,BO291,BQ291,BS291,BU291,BW291,BY291,CA291))</f>
        <v/>
      </c>
      <c r="DD291" s="47">
        <f>IF(C291="","",COUNTIF(AV291:BL291,"Yes"))</f>
        <v/>
      </c>
      <c r="DE291" s="47">
        <f>IF(C291="","",COUNTIF(CV291:CZ291,"Yes"))</f>
        <v/>
      </c>
    </row>
    <row r="292">
      <c r="B292" s="46" t="n"/>
      <c r="G292" s="46" t="n"/>
      <c r="AE292" s="46" t="n"/>
      <c r="AH292" s="46" t="n"/>
      <c r="DB292" s="47">
        <f>IF(C292="","",COUNTA(AI292,AL292,AO292,AR292))</f>
        <v/>
      </c>
      <c r="DC292" s="47">
        <f>IF(C292="","",COUNTA(BM292,BO292,BQ292,BS292,BU292,BW292,BY292,CA292))</f>
        <v/>
      </c>
      <c r="DD292" s="47">
        <f>IF(C292="","",COUNTIF(AV292:BL292,"Yes"))</f>
        <v/>
      </c>
      <c r="DE292" s="47">
        <f>IF(C292="","",COUNTIF(CV292:CZ292,"Yes"))</f>
        <v/>
      </c>
    </row>
    <row r="293">
      <c r="B293" s="46" t="n"/>
      <c r="G293" s="46" t="n"/>
      <c r="AE293" s="46" t="n"/>
      <c r="AH293" s="46" t="n"/>
      <c r="DB293" s="47">
        <f>IF(C293="","",COUNTA(AI293,AL293,AO293,AR293))</f>
        <v/>
      </c>
      <c r="DC293" s="47">
        <f>IF(C293="","",COUNTA(BM293,BO293,BQ293,BS293,BU293,BW293,BY293,CA293))</f>
        <v/>
      </c>
      <c r="DD293" s="47">
        <f>IF(C293="","",COUNTIF(AV293:BL293,"Yes"))</f>
        <v/>
      </c>
      <c r="DE293" s="47">
        <f>IF(C293="","",COUNTIF(CV293:CZ293,"Yes"))</f>
        <v/>
      </c>
    </row>
    <row r="294">
      <c r="B294" s="46" t="n"/>
      <c r="G294" s="46" t="n"/>
      <c r="AE294" s="46" t="n"/>
      <c r="AH294" s="46" t="n"/>
      <c r="DB294" s="47">
        <f>IF(C294="","",COUNTA(AI294,AL294,AO294,AR294))</f>
        <v/>
      </c>
      <c r="DC294" s="47">
        <f>IF(C294="","",COUNTA(BM294,BO294,BQ294,BS294,BU294,BW294,BY294,CA294))</f>
        <v/>
      </c>
      <c r="DD294" s="47">
        <f>IF(C294="","",COUNTIF(AV294:BL294,"Yes"))</f>
        <v/>
      </c>
      <c r="DE294" s="47">
        <f>IF(C294="","",COUNTIF(CV294:CZ294,"Yes"))</f>
        <v/>
      </c>
    </row>
    <row r="295">
      <c r="B295" s="46" t="n"/>
      <c r="G295" s="46" t="n"/>
      <c r="AE295" s="46" t="n"/>
      <c r="AH295" s="46" t="n"/>
      <c r="DB295" s="47">
        <f>IF(C295="","",COUNTA(AI295,AL295,AO295,AR295))</f>
        <v/>
      </c>
      <c r="DC295" s="47">
        <f>IF(C295="","",COUNTA(BM295,BO295,BQ295,BS295,BU295,BW295,BY295,CA295))</f>
        <v/>
      </c>
      <c r="DD295" s="47">
        <f>IF(C295="","",COUNTIF(AV295:BL295,"Yes"))</f>
        <v/>
      </c>
      <c r="DE295" s="47">
        <f>IF(C295="","",COUNTIF(CV295:CZ295,"Yes"))</f>
        <v/>
      </c>
    </row>
    <row r="296">
      <c r="B296" s="46" t="n"/>
      <c r="G296" s="46" t="n"/>
      <c r="AE296" s="46" t="n"/>
      <c r="AH296" s="46" t="n"/>
      <c r="DB296" s="47">
        <f>IF(C296="","",COUNTA(AI296,AL296,AO296,AR296))</f>
        <v/>
      </c>
      <c r="DC296" s="47">
        <f>IF(C296="","",COUNTA(BM296,BO296,BQ296,BS296,BU296,BW296,BY296,CA296))</f>
        <v/>
      </c>
      <c r="DD296" s="47">
        <f>IF(C296="","",COUNTIF(AV296:BL296,"Yes"))</f>
        <v/>
      </c>
      <c r="DE296" s="47">
        <f>IF(C296="","",COUNTIF(CV296:CZ296,"Yes"))</f>
        <v/>
      </c>
    </row>
    <row r="297">
      <c r="B297" s="46" t="n"/>
      <c r="G297" s="46" t="n"/>
      <c r="AE297" s="46" t="n"/>
      <c r="AH297" s="46" t="n"/>
      <c r="DB297" s="47">
        <f>IF(C297="","",COUNTA(AI297,AL297,AO297,AR297))</f>
        <v/>
      </c>
      <c r="DC297" s="47">
        <f>IF(C297="","",COUNTA(BM297,BO297,BQ297,BS297,BU297,BW297,BY297,CA297))</f>
        <v/>
      </c>
      <c r="DD297" s="47">
        <f>IF(C297="","",COUNTIF(AV297:BL297,"Yes"))</f>
        <v/>
      </c>
      <c r="DE297" s="47">
        <f>IF(C297="","",COUNTIF(CV297:CZ297,"Yes"))</f>
        <v/>
      </c>
    </row>
    <row r="298">
      <c r="B298" s="46" t="n"/>
      <c r="G298" s="46" t="n"/>
      <c r="AE298" s="46" t="n"/>
      <c r="AH298" s="46" t="n"/>
      <c r="DB298" s="47">
        <f>IF(C298="","",COUNTA(AI298,AL298,AO298,AR298))</f>
        <v/>
      </c>
      <c r="DC298" s="47">
        <f>IF(C298="","",COUNTA(BM298,BO298,BQ298,BS298,BU298,BW298,BY298,CA298))</f>
        <v/>
      </c>
      <c r="DD298" s="47">
        <f>IF(C298="","",COUNTIF(AV298:BL298,"Yes"))</f>
        <v/>
      </c>
      <c r="DE298" s="47">
        <f>IF(C298="","",COUNTIF(CV298:CZ298,"Yes"))</f>
        <v/>
      </c>
    </row>
    <row r="299">
      <c r="B299" s="46" t="n"/>
      <c r="G299" s="46" t="n"/>
      <c r="AE299" s="46" t="n"/>
      <c r="AH299" s="46" t="n"/>
      <c r="DB299" s="47">
        <f>IF(C299="","",COUNTA(AI299,AL299,AO299,AR299))</f>
        <v/>
      </c>
      <c r="DC299" s="47">
        <f>IF(C299="","",COUNTA(BM299,BO299,BQ299,BS299,BU299,BW299,BY299,CA299))</f>
        <v/>
      </c>
      <c r="DD299" s="47">
        <f>IF(C299="","",COUNTIF(AV299:BL299,"Yes"))</f>
        <v/>
      </c>
      <c r="DE299" s="47">
        <f>IF(C299="","",COUNTIF(CV299:CZ299,"Yes"))</f>
        <v/>
      </c>
    </row>
    <row r="300">
      <c r="B300" s="46" t="n"/>
      <c r="G300" s="46" t="n"/>
      <c r="AE300" s="46" t="n"/>
      <c r="AH300" s="46" t="n"/>
      <c r="DB300" s="47">
        <f>IF(C300="","",COUNTA(AI300,AL300,AO300,AR300))</f>
        <v/>
      </c>
      <c r="DC300" s="47">
        <f>IF(C300="","",COUNTA(BM300,BO300,BQ300,BS300,BU300,BW300,BY300,CA300))</f>
        <v/>
      </c>
      <c r="DD300" s="47">
        <f>IF(C300="","",COUNTIF(AV300:BL300,"Yes"))</f>
        <v/>
      </c>
      <c r="DE300" s="47">
        <f>IF(C300="","",COUNTIF(CV300:CZ300,"Yes"))</f>
        <v/>
      </c>
    </row>
  </sheetData>
  <dataValidations count="7">
    <dataValidation sqref="H2:H300" showDropDown="0" showInputMessage="0" showErrorMessage="0" allowBlank="1" type="list">
      <formula1>"Prep,Shooting,Wrap"</formula1>
    </dataValidation>
    <dataValidation sqref="M2:M300" showDropDown="0" showInputMessage="0" showErrorMessage="0" allowBlank="1" type="list">
      <formula1>"Day,Night,Split"</formula1>
    </dataValidation>
    <dataValidation sqref="AD2:AD300 AG2:AG300" showDropDown="0" showInputMessage="0" showErrorMessage="0" allowBlank="1" type="list">
      <formula1>"On Production,Off Production"</formula1>
    </dataValidation>
    <dataValidation sqref="AJ2:AJ300 AM2:AM300 AP2:AP300 AS2:AS300" showDropDown="0" showInputMessage="0" showErrorMessage="0" allowBlank="1" type="list">
      <formula1>"Key,2nd,3rd"</formula1>
    </dataValidation>
    <dataValidation sqref="N2:N300 O2:O300 P2:P300 Q2:Q300 R2:R300 U2:U300 V2:V300 W2:W300 X2:X300 Y2:Y300 Z2:Z300 AA2:AA300 AB2:AB300 AV2:AV300 AW2:AW300 AX2:AX300 AY2:AY300 AZ2:AZ300 BA2:BA300 BB2:BB300 BC2:BC300 BD2:BD300 BE2:BE300 BF2:BF300 BG2:BG300 BH2:BH300 BI2:BI300 BJ2:BJ300 BK2:BK300 BL2:BL300 CV2:CV300 CW2:CW300 CX2:CX300 CY2:CY300 CZ2:CZ300" showDropDown="0" showInputMessage="0" showErrorMessage="0" allowBlank="1" type="list">
      <formula1>"Yes"</formula1>
    </dataValidation>
    <dataValidation sqref="BN2:BN300 BP2:BP300 BR2:BR300 BT2:BT300 BV2:BV300 BX2:BX300 BZ2:BZ300 CB2:CB300" showDropDown="0" showInputMessage="0" showErrorMessage="0" allowBlank="1" type="list">
      <formula1>"Art,Construction,Costumes,Craft Service,Electrical,Greens,Grip,Locations,Medic,Paint,Plaster,Props,Set Dec,Set Teacher,Sound,SPFX,Video"</formula1>
    </dataValidation>
    <dataValidation sqref="CF2:CF300 CI2:CI300 CL2:CL300 CO2:CO300 CR2:CR300" showDropDown="0" showInputMessage="0" showErrorMessage="0" allowBlank="1" type="list">
      <formula1>"Small,Medium,Large,X-Large,2X-Large,3X-Large,4X-Large"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2026-07-17T23:53:44Z</dcterms:created>
  <dcterms:modified xsi:type="dcterms:W3CDTF">2026-07-17T23:53:44Z</dcterms:modified>
</cp:coreProperties>
</file>